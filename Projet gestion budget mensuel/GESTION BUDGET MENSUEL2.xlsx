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CHAR\Downloads\"/>
    </mc:Choice>
  </mc:AlternateContent>
  <xr:revisionPtr revIDLastSave="0" documentId="13_ncr:1_{AD4909BC-FCF1-4AB4-9BF3-0CDAE3CE0DC4}" xr6:coauthVersionLast="47" xr6:coauthVersionMax="47" xr10:uidLastSave="{00000000-0000-0000-0000-000000000000}"/>
  <bookViews>
    <workbookView xWindow="-120" yWindow="-120" windowWidth="20730" windowHeight="11160" activeTab="4" xr2:uid="{2411AF92-F8A5-48E2-82B0-1E69AAED54D5}"/>
  </bookViews>
  <sheets>
    <sheet name="ACCEUIL" sheetId="1" r:id="rId1"/>
    <sheet name="CATEGORIE" sheetId="2" state="hidden" r:id="rId2"/>
    <sheet name="BUDGET_MENSUEL" sheetId="3" r:id="rId3"/>
    <sheet name="BUDJET_PREVISIONNEL" sheetId="10" r:id="rId4"/>
    <sheet name="TABLEAU_DE_BORD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 s="1"/>
  <c r="G4" i="3" l="1"/>
  <c r="G5" i="3" l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2" i="4"/>
  <c r="AH4" i="4"/>
  <c r="H6" i="4"/>
  <c r="C3" i="10"/>
  <c r="D3" i="10" s="1"/>
  <c r="C4" i="10"/>
  <c r="F4" i="10" s="1"/>
  <c r="C5" i="10"/>
  <c r="E5" i="10" s="1"/>
  <c r="C6" i="10"/>
  <c r="F6" i="10" s="1"/>
  <c r="C7" i="10"/>
  <c r="F7" i="10" s="1"/>
  <c r="C8" i="10"/>
  <c r="E8" i="10" s="1"/>
  <c r="C9" i="10"/>
  <c r="E9" i="10" s="1"/>
  <c r="C10" i="10"/>
  <c r="D10" i="10" s="1"/>
  <c r="C11" i="10"/>
  <c r="D11" i="10" s="1"/>
  <c r="C12" i="10"/>
  <c r="D12" i="10" s="1"/>
  <c r="C13" i="10"/>
  <c r="E13" i="10" s="1"/>
  <c r="C14" i="10"/>
  <c r="D14" i="10" s="1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4" i="3"/>
  <c r="F5" i="3"/>
  <c r="F6" i="3"/>
  <c r="F7" i="3"/>
  <c r="F8" i="3"/>
  <c r="F9" i="3"/>
  <c r="F2" i="3"/>
  <c r="F3" i="3"/>
  <c r="H3" i="4"/>
  <c r="H2" i="4"/>
  <c r="F14" i="10" l="1"/>
  <c r="F10" i="10"/>
  <c r="F13" i="10"/>
  <c r="F9" i="10"/>
  <c r="F8" i="10"/>
  <c r="AH3" i="4"/>
  <c r="AH2" i="4"/>
  <c r="H4" i="4"/>
  <c r="H5" i="4" s="1"/>
  <c r="E12" i="10"/>
  <c r="F5" i="10"/>
  <c r="D5" i="10"/>
  <c r="D9" i="10"/>
  <c r="D8" i="10"/>
  <c r="E6" i="10"/>
  <c r="D13" i="10"/>
  <c r="F12" i="10"/>
  <c r="E4" i="10"/>
  <c r="D4" i="10"/>
  <c r="E7" i="10"/>
  <c r="F11" i="10"/>
  <c r="D7" i="10"/>
  <c r="E11" i="10"/>
  <c r="D6" i="10"/>
  <c r="E14" i="10"/>
  <c r="E10" i="10"/>
  <c r="E3" i="10"/>
  <c r="F3" i="10"/>
  <c r="AH5" i="4" l="1"/>
  <c r="AH6" i="4" l="1"/>
  <c r="AH7" i="4" l="1"/>
  <c r="AH8" i="4" l="1"/>
  <c r="AH9" i="4" l="1"/>
  <c r="AH10" i="4" l="1"/>
  <c r="AH11" i="4" l="1"/>
  <c r="AH12" i="4" l="1"/>
  <c r="AH13" i="4" l="1"/>
  <c r="AH14" i="4" l="1"/>
  <c r="AH15" i="4" l="1"/>
  <c r="AH16" i="4" l="1"/>
  <c r="AH17" i="4" l="1"/>
  <c r="AH18" i="4" l="1"/>
  <c r="AH19" i="4" l="1"/>
  <c r="AH20" i="4" l="1"/>
  <c r="AH21" i="4" l="1"/>
  <c r="AH22" i="4" l="1"/>
  <c r="AH23" i="4" l="1"/>
  <c r="AH24" i="4" l="1"/>
  <c r="AH25" i="4" l="1"/>
  <c r="AH26" i="4" l="1"/>
  <c r="AH27" i="4" l="1"/>
  <c r="AH28" i="4" l="1"/>
  <c r="AH29" i="4" l="1"/>
  <c r="AH30" i="4" l="1"/>
  <c r="AH31" i="4" l="1"/>
  <c r="AH32" i="4" l="1"/>
  <c r="AH33" i="4" l="1"/>
  <c r="AH34" i="4" l="1"/>
  <c r="AH35" i="4" l="1"/>
  <c r="AH36" i="4" l="1"/>
  <c r="AH37" i="4" l="1"/>
  <c r="AH38" i="4" l="1"/>
  <c r="AH39" i="4" l="1"/>
  <c r="AH40" i="4" l="1"/>
  <c r="AH41" i="4" l="1"/>
  <c r="AH42" i="4" l="1"/>
  <c r="AH43" i="4" l="1"/>
  <c r="AH44" i="4" l="1"/>
  <c r="AH45" i="4" l="1"/>
  <c r="AH46" i="4" l="1"/>
  <c r="AH47" i="4" l="1"/>
  <c r="AH48" i="4" l="1"/>
  <c r="AH49" i="4" l="1"/>
  <c r="AH50" i="4" l="1"/>
  <c r="AH51" i="4" l="1"/>
  <c r="AH52" i="4" l="1"/>
  <c r="AH53" i="4" l="1"/>
  <c r="AH54" i="4" l="1"/>
  <c r="AH55" i="4" l="1"/>
  <c r="AH56" i="4" l="1"/>
  <c r="AH57" i="4" l="1"/>
  <c r="AH58" i="4" l="1"/>
  <c r="AH59" i="4" l="1"/>
  <c r="AH60" i="4" l="1"/>
  <c r="AH61" i="4" l="1"/>
  <c r="AH62" i="4" l="1"/>
  <c r="AH63" i="4" l="1"/>
  <c r="AH64" i="4" l="1"/>
  <c r="AH65" i="4" l="1"/>
  <c r="AH66" i="4" l="1"/>
  <c r="AH67" i="4" l="1"/>
  <c r="AH68" i="4" l="1"/>
  <c r="AH69" i="4" l="1"/>
  <c r="AH70" i="4" l="1"/>
  <c r="AH71" i="4" l="1"/>
  <c r="AH72" i="4" l="1"/>
  <c r="AH73" i="4" l="1"/>
  <c r="AH74" i="4" l="1"/>
  <c r="AH75" i="4" l="1"/>
  <c r="AH76" i="4" l="1"/>
  <c r="AH77" i="4" l="1"/>
  <c r="AH78" i="4" l="1"/>
  <c r="AH79" i="4" l="1"/>
  <c r="AH80" i="4" l="1"/>
  <c r="AH81" i="4" l="1"/>
  <c r="AH82" i="4" l="1"/>
  <c r="AH83" i="4" l="1"/>
  <c r="AH84" i="4" l="1"/>
  <c r="AH85" i="4" l="1"/>
  <c r="AH86" i="4" l="1"/>
  <c r="AH87" i="4" l="1"/>
  <c r="AH88" i="4" l="1"/>
  <c r="AH89" i="4" l="1"/>
  <c r="AH90" i="4" l="1"/>
  <c r="AH91" i="4" l="1"/>
  <c r="AH92" i="4" l="1"/>
  <c r="AH93" i="4" l="1"/>
  <c r="AH94" i="4" l="1"/>
  <c r="AH95" i="4" l="1"/>
  <c r="AH96" i="4" l="1"/>
  <c r="AH97" i="4" l="1"/>
  <c r="AH98" i="4" l="1"/>
  <c r="AH99" i="4" l="1"/>
  <c r="AH100" i="4" l="1"/>
  <c r="AH101" i="4" l="1"/>
  <c r="AH102" i="4" l="1"/>
  <c r="AH103" i="4" l="1"/>
  <c r="AH104" i="4" l="1"/>
  <c r="AH105" i="4" l="1"/>
  <c r="AH106" i="4" l="1"/>
  <c r="AH107" i="4" l="1"/>
  <c r="AH108" i="4" l="1"/>
  <c r="AH109" i="4" l="1"/>
  <c r="AH110" i="4" l="1"/>
  <c r="AH111" i="4" l="1"/>
  <c r="AH112" i="4" l="1"/>
  <c r="AH113" i="4" l="1"/>
  <c r="AH114" i="4" l="1"/>
  <c r="AH115" i="4" l="1"/>
  <c r="AH116" i="4" l="1"/>
  <c r="AH117" i="4" l="1"/>
  <c r="AH118" i="4" l="1"/>
  <c r="AH119" i="4" l="1"/>
  <c r="AH120" i="4" l="1"/>
  <c r="AH121" i="4" l="1"/>
  <c r="AH122" i="4" l="1"/>
  <c r="AH123" i="4" l="1"/>
  <c r="AH124" i="4" l="1"/>
  <c r="AH125" i="4" l="1"/>
  <c r="AH126" i="4" l="1"/>
  <c r="AH127" i="4" l="1"/>
  <c r="AH128" i="4" l="1"/>
  <c r="AH129" i="4" l="1"/>
  <c r="AH130" i="4" l="1"/>
  <c r="AH131" i="4" l="1"/>
  <c r="AH132" i="4" l="1"/>
  <c r="AH133" i="4" l="1"/>
  <c r="AH134" i="4" l="1"/>
  <c r="AH135" i="4" l="1"/>
  <c r="AH136" i="4" l="1"/>
  <c r="AH137" i="4" l="1"/>
  <c r="AH138" i="4" l="1"/>
  <c r="AH139" i="4" l="1"/>
  <c r="AH140" i="4" l="1"/>
  <c r="AH141" i="4" l="1"/>
  <c r="AH142" i="4" l="1"/>
  <c r="AH143" i="4" l="1"/>
  <c r="AH144" i="4" l="1"/>
  <c r="AH145" i="4" l="1"/>
  <c r="AH146" i="4" l="1"/>
  <c r="AH147" i="4" l="1"/>
  <c r="AH148" i="4" l="1"/>
  <c r="AH149" i="4" l="1"/>
  <c r="AH150" i="4" l="1"/>
  <c r="AH151" i="4" l="1"/>
  <c r="AH152" i="4" l="1"/>
  <c r="AH153" i="4" l="1"/>
  <c r="AH154" i="4" l="1"/>
  <c r="AH155" i="4" l="1"/>
  <c r="AH156" i="4" l="1"/>
  <c r="AH157" i="4" l="1"/>
  <c r="AH158" i="4" l="1"/>
  <c r="AH159" i="4" l="1"/>
  <c r="AH160" i="4" l="1"/>
  <c r="AH161" i="4" l="1"/>
  <c r="AH162" i="4" l="1"/>
  <c r="AH163" i="4" l="1"/>
  <c r="AH164" i="4" l="1"/>
  <c r="AH165" i="4" l="1"/>
  <c r="AH166" i="4" l="1"/>
  <c r="AH167" i="4" l="1"/>
  <c r="AH168" i="4" l="1"/>
  <c r="AH169" i="4" l="1"/>
  <c r="AH170" i="4" l="1"/>
  <c r="AH171" i="4" l="1"/>
  <c r="AH172" i="4" l="1"/>
  <c r="AH173" i="4" l="1"/>
  <c r="AH174" i="4" l="1"/>
  <c r="AH175" i="4" l="1"/>
  <c r="AH176" i="4" l="1"/>
  <c r="AH177" i="4" l="1"/>
  <c r="AH178" i="4" l="1"/>
  <c r="AH179" i="4" l="1"/>
  <c r="AH180" i="4" l="1"/>
  <c r="AH181" i="4" l="1"/>
  <c r="AH182" i="4" l="1"/>
  <c r="AH183" i="4" l="1"/>
  <c r="AH184" i="4" l="1"/>
  <c r="AH185" i="4" l="1"/>
  <c r="AH186" i="4" l="1"/>
  <c r="AH187" i="4" l="1"/>
  <c r="AH188" i="4" l="1"/>
  <c r="AH189" i="4" l="1"/>
  <c r="AH190" i="4" l="1"/>
  <c r="AH191" i="4" l="1"/>
  <c r="AH192" i="4" l="1"/>
  <c r="AH193" i="4" l="1"/>
  <c r="AH194" i="4" l="1"/>
  <c r="AH195" i="4" l="1"/>
  <c r="AH196" i="4" l="1"/>
  <c r="AH197" i="4" l="1"/>
  <c r="AH198" i="4" l="1"/>
  <c r="AH199" i="4" l="1"/>
</calcChain>
</file>

<file path=xl/sharedStrings.xml><?xml version="1.0" encoding="utf-8"?>
<sst xmlns="http://schemas.openxmlformats.org/spreadsheetml/2006/main" count="90" uniqueCount="76">
  <si>
    <t xml:space="preserve">  🧭 Comment utiliser ce fichier</t>
  </si>
  <si>
    <t xml:space="preserve">  🎨 Code couleur</t>
  </si>
  <si>
    <t xml:space="preserve">Cellule à remplir (saisie manuelle) </t>
  </si>
  <si>
    <t>Cellule calculée automatiquement — ne pas modifier</t>
  </si>
  <si>
    <t>© Votre Boutique — Journal de Trading Professionnel</t>
  </si>
  <si>
    <t>📓 GESTION DU BUDGET MENSUEL</t>
  </si>
  <si>
    <t xml:space="preserve">Suivez, analysez votre budget chauqe mois </t>
  </si>
  <si>
    <t xml:space="preserve">CATHEGORIE REVENUS </t>
  </si>
  <si>
    <t>CATEGORIE DEPENSES</t>
  </si>
  <si>
    <t>Salaire</t>
  </si>
  <si>
    <t xml:space="preserve"> Business/Vente</t>
  </si>
  <si>
    <t>Freelance</t>
  </si>
  <si>
    <t>Autres revenus</t>
  </si>
  <si>
    <t>Investissements</t>
  </si>
  <si>
    <t xml:space="preserve">Immobilier </t>
  </si>
  <si>
    <t>Aides et tranferts</t>
  </si>
  <si>
    <t>Transport</t>
  </si>
  <si>
    <t>Santé</t>
  </si>
  <si>
    <t>Facture</t>
  </si>
  <si>
    <t xml:space="preserve">DATE </t>
  </si>
  <si>
    <t>TYPE</t>
  </si>
  <si>
    <t>CATEGORIE</t>
  </si>
  <si>
    <t xml:space="preserve">DESCRIPTION </t>
  </si>
  <si>
    <t>MONTANT</t>
  </si>
  <si>
    <t>Total Revenus</t>
  </si>
  <si>
    <t xml:space="preserve">Total Dépenses </t>
  </si>
  <si>
    <t>Solde</t>
  </si>
  <si>
    <t xml:space="preserve">Taux d'épargne </t>
  </si>
  <si>
    <t xml:space="preserve">Nombre de movements </t>
  </si>
  <si>
    <t>INDICATEURS</t>
  </si>
  <si>
    <t>DATE</t>
  </si>
  <si>
    <t>MOIS</t>
  </si>
  <si>
    <t>CUMUL</t>
  </si>
  <si>
    <t>Catégorie</t>
  </si>
  <si>
    <t>Logement</t>
  </si>
  <si>
    <t>Alimentation</t>
  </si>
  <si>
    <t>Éducation</t>
  </si>
  <si>
    <t>Communication</t>
  </si>
  <si>
    <t>Loisirs</t>
  </si>
  <si>
    <t>Shopping</t>
  </si>
  <si>
    <t>Dette/Crédit</t>
  </si>
  <si>
    <t>Épargne</t>
  </si>
  <si>
    <t>Abonnements</t>
  </si>
  <si>
    <t>Autre dépense</t>
  </si>
  <si>
    <t>Budget prévu</t>
  </si>
  <si>
    <t>Dépenses réelles</t>
  </si>
  <si>
    <t>Écart</t>
  </si>
  <si>
    <t>% utilisé</t>
  </si>
  <si>
    <t>Statut</t>
  </si>
  <si>
    <t>Education</t>
  </si>
  <si>
    <t>Commerce/Activité</t>
  </si>
  <si>
    <t>Personnel</t>
  </si>
  <si>
    <t>Famille et Social</t>
  </si>
  <si>
    <t>Loisir</t>
  </si>
  <si>
    <t>Finance</t>
  </si>
  <si>
    <t>Epargne et investissement</t>
  </si>
  <si>
    <t>Impôts et Taxe</t>
  </si>
  <si>
    <t>Autre dépenses</t>
  </si>
  <si>
    <t>VALEUR</t>
  </si>
  <si>
    <t>1</t>
  </si>
  <si>
    <t>Commencez par l’onglet BUDGET_MENSUEL.</t>
  </si>
  <si>
    <t>Saisissez vos opérations : date, type, catégorie, description, montant et mode de paiement.</t>
  </si>
  <si>
    <t>2</t>
  </si>
  <si>
    <t>Utilisez les menus déroulants.</t>
  </si>
  <si>
    <t>Ils réduisent les erreurs de saisie et gardent vos données propres.</t>
  </si>
  <si>
    <t>3</t>
  </si>
  <si>
    <t>Définissez vos limites.</t>
  </si>
  <si>
    <t>Dans BUDGET_PREVISIONNEL, indiquez le budget prévu pour chaque catégorie.</t>
  </si>
  <si>
    <t>4</t>
  </si>
  <si>
    <t>Consultez le tableau de bord.</t>
  </si>
  <si>
    <t>Sélectionnez le mois et visualisez automatiquement revenus, dépenses, solde et graphiques.</t>
  </si>
  <si>
    <t>5</t>
  </si>
  <si>
    <t>Ne modifiez pas les formules.</t>
  </si>
  <si>
    <t>Les cellules calculées sont là pour automatiser votre suivi.</t>
  </si>
  <si>
    <t>Revenu</t>
  </si>
  <si>
    <t>Dépense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</si>
</sst>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XOF]"/>
    <numFmt numFmtId="165" formatCode="[$-F800]dddd\,\ mmmm\ dd\,\ yyyy"/>
  </numFmts>
  <fonts count="19" x14ac:knownFonts="1">
    <font>
      <sz val="11"/>
      <color theme="1"/>
      <name val="Calibri"/>
      <family val="2"/>
      <scheme val="minor"/>
    </font>
    <font>
      <b/>
      <sz val="24"/>
      <color rgb="FF1F2937"/>
      <name val="Arial"/>
      <family val="2"/>
    </font>
    <font>
      <i/>
      <sz val="12"/>
      <color rgb="FF6B7280"/>
      <name val="Arial"/>
      <family val="2"/>
    </font>
    <font>
      <b/>
      <sz val="13"/>
      <color rgb="FFFFFFFF"/>
      <name val="Arial"/>
      <family val="2"/>
    </font>
    <font>
      <sz val="10"/>
      <color rgb="FF111827"/>
      <name val="Arial"/>
      <family val="2"/>
    </font>
    <font>
      <sz val="11"/>
      <color rgb="FFFF0000"/>
      <name val="Calibri"/>
      <family val="2"/>
    </font>
    <font>
      <i/>
      <sz val="9"/>
      <color rgb="FF9CA3AF"/>
      <name val="Arial"/>
      <family val="2"/>
    </font>
    <font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Arial"/>
      <family val="2"/>
    </font>
    <font>
      <b/>
      <i/>
      <sz val="22"/>
      <color theme="1"/>
      <name val="Calibri"/>
      <family val="2"/>
      <scheme val="minor"/>
    </font>
    <font>
      <b/>
      <i/>
      <sz val="20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Brush Script MT"/>
      <family val="4"/>
    </font>
  </fonts>
  <fills count="10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E7E6E6"/>
        <bgColor rgb="FFE7E6E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FC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6">
    <xf numFmtId="0" fontId="0" fillId="0" borderId="0" xfId="0"/>
    <xf numFmtId="0" fontId="0" fillId="3" borderId="1" xfId="0" applyFill="1" applyBorder="1"/>
    <xf numFmtId="0" fontId="7" fillId="0" borderId="0" xfId="0" applyFont="1"/>
    <xf numFmtId="0" fontId="8" fillId="0" borderId="0" xfId="0" applyFont="1"/>
    <xf numFmtId="0" fontId="13" fillId="0" borderId="0" xfId="0" applyFont="1"/>
    <xf numFmtId="0" fontId="14" fillId="4" borderId="0" xfId="0" applyFont="1" applyFill="1"/>
    <xf numFmtId="0" fontId="15" fillId="4" borderId="2" xfId="0" applyFont="1" applyFill="1" applyBorder="1"/>
    <xf numFmtId="0" fontId="12" fillId="0" borderId="2" xfId="0" applyFont="1" applyBorder="1"/>
    <xf numFmtId="0" fontId="9" fillId="4" borderId="6" xfId="0" applyFont="1" applyFill="1" applyBorder="1"/>
    <xf numFmtId="0" fontId="9" fillId="4" borderId="7" xfId="0" applyFont="1" applyFill="1" applyBorder="1"/>
    <xf numFmtId="0" fontId="16" fillId="0" borderId="4" xfId="0" applyFont="1" applyBorder="1"/>
    <xf numFmtId="0" fontId="17" fillId="0" borderId="4" xfId="0" applyFont="1" applyBorder="1"/>
    <xf numFmtId="0" fontId="12" fillId="5" borderId="2" xfId="0" applyFont="1" applyFill="1" applyBorder="1"/>
    <xf numFmtId="3" fontId="12" fillId="5" borderId="2" xfId="0" applyNumberFormat="1" applyFont="1" applyFill="1" applyBorder="1" applyAlignment="1">
      <alignment wrapText="1"/>
    </xf>
    <xf numFmtId="9" fontId="12" fillId="5" borderId="2" xfId="0" applyNumberFormat="1" applyFont="1" applyFill="1" applyBorder="1"/>
    <xf numFmtId="0" fontId="5" fillId="6" borderId="1" xfId="0" applyFont="1" applyFill="1" applyBorder="1"/>
    <xf numFmtId="0" fontId="0" fillId="5" borderId="0" xfId="0" applyFill="1"/>
    <xf numFmtId="165" fontId="0" fillId="5" borderId="0" xfId="0" applyNumberFormat="1" applyFill="1"/>
    <xf numFmtId="0" fontId="0" fillId="8" borderId="0" xfId="0" applyFill="1"/>
    <xf numFmtId="0" fontId="12" fillId="5" borderId="3" xfId="0" applyFont="1" applyFill="1" applyBorder="1" applyProtection="1">
      <protection hidden="1"/>
    </xf>
    <xf numFmtId="0" fontId="12" fillId="5" borderId="2" xfId="0" applyFont="1" applyFill="1" applyBorder="1" applyProtection="1">
      <protection hidden="1"/>
    </xf>
    <xf numFmtId="0" fontId="12" fillId="5" borderId="5" xfId="0" applyFont="1" applyFill="1" applyBorder="1" applyProtection="1">
      <protection hidden="1"/>
    </xf>
    <xf numFmtId="164" fontId="12" fillId="5" borderId="3" xfId="0" applyNumberFormat="1" applyFont="1" applyFill="1" applyBorder="1" applyProtection="1">
      <protection hidden="1"/>
    </xf>
    <xf numFmtId="164" fontId="12" fillId="5" borderId="2" xfId="0" applyNumberFormat="1" applyFont="1" applyFill="1" applyBorder="1" applyProtection="1">
      <protection hidden="1"/>
    </xf>
    <xf numFmtId="165" fontId="12" fillId="7" borderId="3" xfId="0" applyNumberFormat="1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164" fontId="12" fillId="7" borderId="3" xfId="0" applyNumberFormat="1" applyFont="1" applyFill="1" applyBorder="1" applyProtection="1">
      <protection locked="0"/>
    </xf>
    <xf numFmtId="165" fontId="12" fillId="7" borderId="2" xfId="0" applyNumberFormat="1" applyFont="1" applyFill="1" applyBorder="1" applyProtection="1">
      <protection locked="0"/>
    </xf>
    <xf numFmtId="0" fontId="12" fillId="7" borderId="2" xfId="0" applyFont="1" applyFill="1" applyBorder="1" applyProtection="1">
      <protection locked="0"/>
    </xf>
    <xf numFmtId="164" fontId="12" fillId="7" borderId="2" xfId="0" applyNumberFormat="1" applyFont="1" applyFill="1" applyBorder="1" applyProtection="1">
      <protection locked="0"/>
    </xf>
    <xf numFmtId="14" fontId="12" fillId="7" borderId="2" xfId="0" applyNumberFormat="1" applyFont="1" applyFill="1" applyBorder="1" applyProtection="1">
      <protection locked="0"/>
    </xf>
    <xf numFmtId="165" fontId="12" fillId="7" borderId="5" xfId="0" applyNumberFormat="1" applyFont="1" applyFill="1" applyBorder="1" applyProtection="1">
      <protection locked="0"/>
    </xf>
    <xf numFmtId="0" fontId="12" fillId="7" borderId="5" xfId="0" applyFont="1" applyFill="1" applyBorder="1" applyProtection="1">
      <protection locked="0"/>
    </xf>
    <xf numFmtId="164" fontId="12" fillId="7" borderId="5" xfId="0" applyNumberFormat="1" applyFont="1" applyFill="1" applyBorder="1" applyProtection="1">
      <protection locked="0"/>
    </xf>
    <xf numFmtId="3" fontId="12" fillId="7" borderId="2" xfId="0" applyNumberFormat="1" applyFont="1" applyFill="1" applyBorder="1" applyProtection="1">
      <protection locked="0"/>
    </xf>
    <xf numFmtId="164" fontId="11" fillId="5" borderId="0" xfId="0" applyNumberFormat="1" applyFont="1" applyFill="1" applyProtection="1">
      <protection hidden="1"/>
    </xf>
    <xf numFmtId="9" fontId="11" fillId="5" borderId="0" xfId="1" applyFont="1" applyFill="1" applyProtection="1">
      <protection hidden="1"/>
    </xf>
    <xf numFmtId="0" fontId="11" fillId="5" borderId="0" xfId="0" applyFont="1" applyFill="1" applyProtection="1">
      <protection hidden="1"/>
    </xf>
    <xf numFmtId="0" fontId="0" fillId="0" borderId="0" xfId="0" applyProtection="1">
      <protection hidden="1"/>
    </xf>
    <xf numFmtId="0" fontId="18" fillId="9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0" xfId="0" applyFont="1" applyFill="1"/>
    <xf numFmtId="0" fontId="0" fillId="0" borderId="4" xfId="0" applyBorder="1"/>
    <xf numFmtId="0" fontId="4" fillId="0" borderId="0" xfId="0" applyFont="1"/>
    <xf numFmtId="0" fontId="6" fillId="0" borderId="0" xfId="0" applyFont="1"/>
  </cellXfs>
  <cellStyles count="2">
    <cellStyle name="Normal" xfId="0" builtinId="0"/>
    <cellStyle name="Percent" xfId="1" builtinId="5"/>
  </cellStyles>
  <dxfs count="20">
    <dxf>
      <font>
        <b/>
        <i val="0"/>
      </font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#,##0.00\ [$XOF]"/>
      <fill>
        <patternFill patternType="solid">
          <fgColor indexed="64"/>
          <bgColor theme="7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#,##0.00\ [$XOF]"/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5" formatCode="[$-F800]dddd\,\ mmmm\ dd\,\ yyyy"/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solid">
          <fgColor indexed="64"/>
          <bgColor theme="7"/>
        </patternFill>
      </fill>
    </dxf>
    <dxf>
      <numFmt numFmtId="165" formatCode="[$-F800]dddd\,\ mmmm\ dd\,\ yyyy"/>
      <fill>
        <patternFill patternType="solid">
          <fgColor indexed="64"/>
          <bgColor theme="7"/>
        </patternFill>
      </fill>
    </dxf>
    <dxf>
      <fill>
        <patternFill patternType="solid">
          <fgColor indexed="64"/>
          <bgColor theme="7"/>
        </patternFill>
      </fill>
    </dxf>
    <dxf>
      <fill>
        <patternFill patternType="solid">
          <fgColor indexed="64"/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#,##0.00\ [$XOF]"/>
      <fill>
        <patternFill patternType="solid">
          <fgColor indexed="64"/>
          <bgColor theme="7"/>
        </patternFill>
      </fill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97-4365-810E-2886D71C66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97-4365-810E-2886D71C66B7}"/>
              </c:ext>
            </c:extLst>
          </c:dPt>
          <c:cat>
            <c:strRef>
              <c:f>TABLEAU_DE_BORD!$G$2:$G$3</c:f>
              <c:strCache>
                <c:ptCount val="2"/>
                <c:pt idx="0">
                  <c:v>Total Revenus</c:v>
                </c:pt>
                <c:pt idx="1">
                  <c:v>Total Dépenses </c:v>
                </c:pt>
              </c:strCache>
            </c:strRef>
          </c:cat>
          <c:val>
            <c:numRef>
              <c:f>TABLEAU_DE_BORD!$H$2:$H$3</c:f>
              <c:numCache>
                <c:formatCode>#\ ##0.00\ [$XOF]</c:formatCode>
                <c:ptCount val="2"/>
                <c:pt idx="0">
                  <c:v>6000000</c:v>
                </c:pt>
                <c:pt idx="1">
                  <c:v>1010000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0-4431-9251-9B41217CE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EVOLUTION_BUDGET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TABLEAU_DE_BORD!$AH$1</c:f>
              <c:strCache>
                <c:ptCount val="1"/>
                <c:pt idx="0">
                  <c:v>CUMUL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TABLEAU_DE_BORD!$AG$2:$AG$199</c:f>
            </c:multiLvlStrRef>
          </c:cat>
          <c:val>
            <c:numRef>
              <c:f>TABLEAU_DE_BORD!$AH$2:$AH$199</c:f>
              <c:numCache>
                <c:formatCode>General</c:formatCode>
                <c:ptCount val="1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84-4589-AD35-38385A217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9093520"/>
        <c:axId val="619090640"/>
      </c:lineChart>
      <c:catAx>
        <c:axId val="61909352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090640"/>
        <c:crosses val="autoZero"/>
        <c:auto val="1"/>
        <c:lblAlgn val="ctr"/>
        <c:lblOffset val="100"/>
        <c:noMultiLvlLbl val="0"/>
      </c:catAx>
      <c:valAx>
        <c:axId val="61909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09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217715</xdr:colOff>
      <xdr:row>5</xdr:row>
      <xdr:rowOff>307521</xdr:rowOff>
    </xdr:from>
    <xdr:to>
      <xdr:col>5</xdr:col>
      <xdr:colOff>210912</xdr:colOff>
      <xdr:row>27</xdr:row>
      <xdr:rowOff>81643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7F10376F-426C-FB0F-EF3A-AD7D104CA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340178</xdr:colOff>
      <xdr:row>6</xdr:row>
      <xdr:rowOff>13606</xdr:rowOff>
    </xdr:from>
    <xdr:to>
      <xdr:col>11</xdr:col>
      <xdr:colOff>748392</xdr:colOff>
      <xdr:row>28</xdr:row>
      <xdr:rowOff>27213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747946-7CB2-E53A-03AD-FFFE799C6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882EE8-1BFD-4939-BDD9-3AD1AED27331}" name="Tableau6" displayName="Tableau6" ref="A1:G200" totalsRowShown="0" headerRowDxfId="12" dataDxfId="10" headerRowBorderDxfId="11" tableBorderDxfId="9">
  <autoFilter ref="A1:G200" xr:uid="{4D882EE8-1BFD-4939-BDD9-3AD1AED27331}"/>
  <tableColumns count="7">
    <tableColumn id="1" xr3:uid="{FB142405-8B46-464F-AFD0-B34296C2AC8D}" name="DATE " dataDxfId="8"/>
    <tableColumn id="2" xr3:uid="{7C8EF256-99F7-4471-9CDB-C7FEDA8A049B}" name="TYPE" dataDxfId="7"/>
    <tableColumn id="3" xr3:uid="{70EC31BE-E110-4505-B610-FCEE9EED4B74}" name="CATEGORIE" dataDxfId="6"/>
    <tableColumn id="4" xr3:uid="{B71F8359-0319-4A30-A040-4095592C9BDA}" name="DESCRIPTION " dataDxfId="5"/>
    <tableColumn id="5" xr3:uid="{17131418-81EC-4A50-8A30-DF5FA76FE8A5}" name="MONTANT" dataDxfId="4"/>
    <tableColumn id="6" xr3:uid="{F0A20D52-ED29-4AF0-98F8-FCD08A78F9FE}" name="MOIS" dataDxfId="3">
      <calculatedColumnFormula>IF(A2="","",TEXT(A2,"mmmm yyyy"))</calculatedColumnFormula>
    </tableColumn>
    <tableColumn id="7" xr3:uid="{55557A6B-3A73-4367-B0CC-DAA8461F1088}" name="CUMUL" dataDxfId="2">
      <calculatedColumnFormula>IF(A2="","",IF(B2="Revenu",E2,-E2))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11D3FD-E1F3-4A01-AC07-DE592771A46C}" name="Tableau4" displayName="Tableau4" ref="G1:H6" totalsRowShown="0" headerRowDxfId="19">
  <autoFilter ref="G1:H6" xr:uid="{1F11D3FD-E1F3-4A01-AC07-DE592771A46C}"/>
  <tableColumns count="2">
    <tableColumn id="1" xr3:uid="{D2165BCA-41D9-4C93-ADF8-DC74EC311728}" name="INDICATEURS" dataDxfId="18"/>
    <tableColumn id="2" xr3:uid="{7BAD5CB6-5FD1-46A6-8ED5-0EC36C68F444}" name="VALEUR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FE3D70-3A45-4449-AEFC-090CCF38EB74}" name="Tableau7" displayName="Tableau7" ref="AG1:AH199" totalsRowShown="0" headerRowDxfId="16" dataDxfId="15">
  <autoFilter ref="AG1:AH199" xr:uid="{ABFE3D70-3A45-4449-AEFC-090CCF38EB74}"/>
  <tableColumns count="2">
    <tableColumn id="1" xr3:uid="{85F9A607-CF64-486E-8EE7-3491C1F952EE}" name="DATE" dataDxfId="14">
      <calculatedColumnFormula>IF(Tableau6[[#This Row],[DATE ]]="","",Tableau6[[#This Row],[DATE ]])</calculatedColumnFormula>
    </tableColumn>
    <tableColumn id="2" xr3:uid="{1CDCB2E7-7DF2-4409-B8F4-0528433F83A2}" name="CUMUL" dataDxfId="13">
      <calculatedColumnFormula>Tableau6[[#This Row],[CUMUL]]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DCD8-239E-4283-841C-5959DF5F961B}">
  <dimension ref="A1:F16"/>
  <sheetViews>
    <sheetView topLeftCell="A4" workbookViewId="0">
      <selection activeCell="A17" sqref="A17"/>
    </sheetView>
  </sheetViews>
  <sheetFormatPr defaultColWidth="11.42578125" defaultRowHeight="15" x14ac:dyDescent="0.25"/>
  <cols>
    <col min="2" max="2" width="41.28515625" customWidth="1"/>
    <col min="5" max="5" width="67.5703125" customWidth="1"/>
  </cols>
  <sheetData>
    <row r="1" spans="1:6" x14ac:dyDescent="0.25">
      <c r="A1" s="40" t="s">
        <v>5</v>
      </c>
      <c r="B1" s="40"/>
      <c r="C1" s="40"/>
      <c r="D1" s="40"/>
      <c r="E1" s="40"/>
    </row>
    <row r="2" spans="1:6" x14ac:dyDescent="0.25">
      <c r="A2" s="40"/>
      <c r="B2" s="40"/>
      <c r="C2" s="40"/>
      <c r="D2" s="40"/>
      <c r="E2" s="40"/>
    </row>
    <row r="3" spans="1:6" ht="15.75" x14ac:dyDescent="0.25">
      <c r="A3" s="41" t="s">
        <v>6</v>
      </c>
      <c r="B3" s="41"/>
      <c r="C3" s="41"/>
      <c r="D3" s="41"/>
      <c r="E3" s="41"/>
    </row>
    <row r="5" spans="1:6" ht="16.5" x14ac:dyDescent="0.25">
      <c r="A5" s="42" t="s">
        <v>0</v>
      </c>
      <c r="B5" s="42"/>
      <c r="C5" s="42"/>
      <c r="D5" s="42"/>
      <c r="E5" s="42"/>
    </row>
    <row r="6" spans="1:6" ht="18.75" x14ac:dyDescent="0.3">
      <c r="A6" s="10" t="s">
        <v>59</v>
      </c>
      <c r="B6" s="11" t="s">
        <v>60</v>
      </c>
      <c r="C6" s="43" t="s">
        <v>61</v>
      </c>
      <c r="D6" s="43"/>
      <c r="E6" s="43"/>
      <c r="F6" s="43"/>
    </row>
    <row r="7" spans="1:6" ht="18.75" x14ac:dyDescent="0.3">
      <c r="A7" s="10" t="s">
        <v>62</v>
      </c>
      <c r="B7" s="11" t="s">
        <v>63</v>
      </c>
      <c r="C7" s="43" t="s">
        <v>64</v>
      </c>
      <c r="D7" s="43"/>
      <c r="E7" s="43"/>
      <c r="F7" s="43"/>
    </row>
    <row r="8" spans="1:6" ht="18.75" x14ac:dyDescent="0.3">
      <c r="A8" s="10" t="s">
        <v>65</v>
      </c>
      <c r="B8" s="11" t="s">
        <v>66</v>
      </c>
      <c r="C8" s="43" t="s">
        <v>67</v>
      </c>
      <c r="D8" s="43"/>
      <c r="E8" s="43"/>
      <c r="F8" s="43"/>
    </row>
    <row r="9" spans="1:6" ht="18.75" x14ac:dyDescent="0.3">
      <c r="A9" s="10" t="s">
        <v>68</v>
      </c>
      <c r="B9" s="11" t="s">
        <v>69</v>
      </c>
      <c r="C9" s="43" t="s">
        <v>70</v>
      </c>
      <c r="D9" s="43"/>
      <c r="E9" s="43"/>
      <c r="F9" s="43"/>
    </row>
    <row r="10" spans="1:6" ht="18.75" x14ac:dyDescent="0.3">
      <c r="A10" s="10" t="s">
        <v>71</v>
      </c>
      <c r="B10" s="11" t="s">
        <v>72</v>
      </c>
      <c r="C10" s="43" t="s">
        <v>73</v>
      </c>
      <c r="D10" s="43"/>
      <c r="E10" s="43"/>
      <c r="F10" s="43"/>
    </row>
    <row r="11" spans="1:6" ht="16.5" x14ac:dyDescent="0.25">
      <c r="A11" s="42" t="s">
        <v>1</v>
      </c>
      <c r="B11" s="42"/>
      <c r="C11" s="42"/>
      <c r="D11" s="42"/>
      <c r="E11" s="42"/>
    </row>
    <row r="13" spans="1:6" x14ac:dyDescent="0.25">
      <c r="A13" s="1"/>
      <c r="B13" s="44" t="s">
        <v>2</v>
      </c>
      <c r="C13" s="44"/>
      <c r="D13" s="44"/>
      <c r="E13" s="44"/>
    </row>
    <row r="14" spans="1:6" x14ac:dyDescent="0.25">
      <c r="A14" s="15"/>
      <c r="B14" s="44" t="s">
        <v>3</v>
      </c>
      <c r="C14" s="44"/>
      <c r="D14" s="44"/>
      <c r="E14" s="44"/>
    </row>
    <row r="16" spans="1:6" ht="15.75" x14ac:dyDescent="0.3">
      <c r="A16" s="39"/>
      <c r="B16" s="39"/>
    </row>
  </sheetData>
  <mergeCells count="12">
    <mergeCell ref="A16:B16"/>
    <mergeCell ref="A1:E2"/>
    <mergeCell ref="A3:E3"/>
    <mergeCell ref="A5:E5"/>
    <mergeCell ref="C7:F7"/>
    <mergeCell ref="C8:F8"/>
    <mergeCell ref="C6:F6"/>
    <mergeCell ref="B13:E13"/>
    <mergeCell ref="B14:E14"/>
    <mergeCell ref="A11:E11"/>
    <mergeCell ref="C10:F10"/>
    <mergeCell ref="C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377F-A401-4422-94AE-2FBD0C545BEA}">
  <dimension ref="A1:E19"/>
  <sheetViews>
    <sheetView topLeftCell="B1" workbookViewId="0">
      <selection activeCell="B17" sqref="B17"/>
    </sheetView>
  </sheetViews>
  <sheetFormatPr defaultColWidth="11.42578125" defaultRowHeight="15" x14ac:dyDescent="0.25"/>
  <cols>
    <col min="1" max="1" width="32.5703125" customWidth="1"/>
    <col min="2" max="2" width="29.5703125" customWidth="1"/>
    <col min="5" max="5" width="12.140625" customWidth="1"/>
  </cols>
  <sheetData>
    <row r="1" spans="1:2" ht="21" x14ac:dyDescent="0.35">
      <c r="A1" s="3" t="s">
        <v>7</v>
      </c>
      <c r="B1" s="3" t="s">
        <v>8</v>
      </c>
    </row>
    <row r="2" spans="1:2" ht="18.75" x14ac:dyDescent="0.3">
      <c r="A2" s="2" t="s">
        <v>9</v>
      </c>
      <c r="B2" s="2" t="s">
        <v>34</v>
      </c>
    </row>
    <row r="3" spans="1:2" ht="18.75" x14ac:dyDescent="0.3">
      <c r="A3" s="2" t="s">
        <v>10</v>
      </c>
      <c r="B3" s="2" t="s">
        <v>35</v>
      </c>
    </row>
    <row r="4" spans="1:2" ht="18.75" x14ac:dyDescent="0.3">
      <c r="A4" s="2" t="s">
        <v>11</v>
      </c>
      <c r="B4" s="2" t="s">
        <v>16</v>
      </c>
    </row>
    <row r="5" spans="1:2" ht="18.75" x14ac:dyDescent="0.3">
      <c r="A5" s="2" t="s">
        <v>13</v>
      </c>
      <c r="B5" s="2" t="s">
        <v>37</v>
      </c>
    </row>
    <row r="6" spans="1:2" ht="18.75" x14ac:dyDescent="0.3">
      <c r="A6" s="2" t="s">
        <v>14</v>
      </c>
      <c r="B6" s="2" t="s">
        <v>17</v>
      </c>
    </row>
    <row r="7" spans="1:2" ht="18.75" x14ac:dyDescent="0.3">
      <c r="A7" s="2" t="s">
        <v>15</v>
      </c>
      <c r="B7" s="2" t="s">
        <v>49</v>
      </c>
    </row>
    <row r="8" spans="1:2" ht="18.75" x14ac:dyDescent="0.3">
      <c r="A8" s="2" t="s">
        <v>12</v>
      </c>
      <c r="B8" s="2" t="s">
        <v>50</v>
      </c>
    </row>
    <row r="9" spans="1:2" ht="18.75" x14ac:dyDescent="0.3">
      <c r="A9" s="2"/>
      <c r="B9" s="2" t="s">
        <v>51</v>
      </c>
    </row>
    <row r="10" spans="1:2" ht="18.75" x14ac:dyDescent="0.3">
      <c r="A10" s="2"/>
      <c r="B10" s="2" t="s">
        <v>52</v>
      </c>
    </row>
    <row r="11" spans="1:2" ht="18.75" x14ac:dyDescent="0.3">
      <c r="A11" s="2"/>
      <c r="B11" s="2" t="s">
        <v>53</v>
      </c>
    </row>
    <row r="12" spans="1:2" ht="18.75" x14ac:dyDescent="0.3">
      <c r="A12" s="2"/>
      <c r="B12" s="2" t="s">
        <v>54</v>
      </c>
    </row>
    <row r="13" spans="1:2" ht="18.75" x14ac:dyDescent="0.3">
      <c r="A13" s="2"/>
      <c r="B13" s="2" t="s">
        <v>55</v>
      </c>
    </row>
    <row r="14" spans="1:2" ht="18.75" x14ac:dyDescent="0.3">
      <c r="A14" s="2"/>
      <c r="B14" s="2" t="s">
        <v>56</v>
      </c>
    </row>
    <row r="15" spans="1:2" ht="18.75" x14ac:dyDescent="0.3">
      <c r="A15" s="2"/>
      <c r="B15" s="2" t="s">
        <v>18</v>
      </c>
    </row>
    <row r="16" spans="1:2" ht="18.75" x14ac:dyDescent="0.3">
      <c r="A16" s="2"/>
      <c r="B16" s="2" t="s">
        <v>57</v>
      </c>
    </row>
    <row r="19" spans="1:5" x14ac:dyDescent="0.25">
      <c r="A19" s="45" t="s">
        <v>4</v>
      </c>
      <c r="B19" s="45"/>
      <c r="C19" s="45"/>
      <c r="D19" s="45"/>
      <c r="E19" s="45"/>
    </row>
  </sheetData>
  <mergeCells count="1">
    <mergeCell ref="A19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43F4-1AF7-477D-9156-A85B04F3073A}">
  <dimension ref="A1:G200"/>
  <sheetViews>
    <sheetView topLeftCell="B1" zoomScale="115" zoomScaleNormal="115" workbookViewId="0">
      <selection activeCell="E7" sqref="E7"/>
    </sheetView>
  </sheetViews>
  <sheetFormatPr defaultColWidth="11.42578125" defaultRowHeight="15" x14ac:dyDescent="0.25"/>
  <cols>
    <col min="1" max="1" width="37.5703125" customWidth="1"/>
    <col min="2" max="2" width="26" customWidth="1"/>
    <col min="3" max="3" width="26.85546875" customWidth="1"/>
    <col min="4" max="4" width="51" customWidth="1"/>
    <col min="5" max="5" width="35.5703125" customWidth="1"/>
    <col min="6" max="6" width="24.7109375" customWidth="1"/>
    <col min="7" max="7" width="37.85546875" customWidth="1"/>
    <col min="8" max="8" width="21" customWidth="1"/>
  </cols>
  <sheetData>
    <row r="1" spans="1:7" ht="27" thickBot="1" x14ac:dyDescent="0.45">
      <c r="A1" s="8" t="s">
        <v>19</v>
      </c>
      <c r="B1" s="8" t="s">
        <v>20</v>
      </c>
      <c r="C1" s="9" t="s">
        <v>21</v>
      </c>
      <c r="D1" s="8" t="s">
        <v>22</v>
      </c>
      <c r="E1" s="8" t="s">
        <v>23</v>
      </c>
      <c r="F1" s="8" t="s">
        <v>31</v>
      </c>
      <c r="G1" s="8" t="s">
        <v>32</v>
      </c>
    </row>
    <row r="2" spans="1:7" ht="21" x14ac:dyDescent="0.35">
      <c r="A2" s="24"/>
      <c r="B2" s="25" t="s">
        <v>74</v>
      </c>
      <c r="C2" s="25" t="s">
        <v>10</v>
      </c>
      <c r="D2" s="25"/>
      <c r="E2" s="26">
        <v>1000000</v>
      </c>
      <c r="F2" s="19" t="str">
        <f t="shared" ref="F2:F33" si="0">IF(A2="","",TEXT(A2,"mmmm yyyy"))</f>
        <v/>
      </c>
      <c r="G2" s="22" t="str">
        <f>IF(A2="","",IF(B2="Revenu",E2,-E2))</f>
        <v/>
      </c>
    </row>
    <row r="3" spans="1:7" ht="21" x14ac:dyDescent="0.35">
      <c r="A3" s="27"/>
      <c r="B3" s="28" t="s">
        <v>75</v>
      </c>
      <c r="C3" s="28" t="s">
        <v>34</v>
      </c>
      <c r="D3" s="28"/>
      <c r="E3" s="29">
        <v>500000</v>
      </c>
      <c r="F3" s="20" t="str">
        <f t="shared" si="0"/>
        <v/>
      </c>
      <c r="G3" s="23" t="str">
        <f>IFERROR(IF(A3="","",(IF(B3="Revenu",E3,-E3))+G2),"")</f>
        <v/>
      </c>
    </row>
    <row r="4" spans="1:7" ht="21" x14ac:dyDescent="0.35">
      <c r="A4" s="27"/>
      <c r="B4" s="28" t="s">
        <v>74</v>
      </c>
      <c r="C4" s="28" t="s">
        <v>11</v>
      </c>
      <c r="D4" s="28"/>
      <c r="E4" s="29">
        <v>5000000</v>
      </c>
      <c r="F4" s="20" t="str">
        <f t="shared" si="0"/>
        <v/>
      </c>
      <c r="G4" s="23" t="str">
        <f t="shared" ref="G4:G67" si="1">IFERROR(IF(A4="","",IF(B4="Revenu",E4,-E4))+G3,"")</f>
        <v/>
      </c>
    </row>
    <row r="5" spans="1:7" ht="21" x14ac:dyDescent="0.35">
      <c r="A5" s="27"/>
      <c r="B5" s="28" t="s">
        <v>75</v>
      </c>
      <c r="C5" s="28" t="s">
        <v>37</v>
      </c>
      <c r="D5" s="28"/>
      <c r="E5" s="29">
        <v>10000</v>
      </c>
      <c r="F5" s="20" t="str">
        <f t="shared" si="0"/>
        <v/>
      </c>
      <c r="G5" s="23" t="str">
        <f t="shared" si="1"/>
        <v/>
      </c>
    </row>
    <row r="6" spans="1:7" ht="21" x14ac:dyDescent="0.35">
      <c r="A6" s="27"/>
      <c r="B6" s="28" t="s">
        <v>75</v>
      </c>
      <c r="C6" s="28" t="s">
        <v>34</v>
      </c>
      <c r="D6" s="28"/>
      <c r="E6" s="29">
        <v>500000</v>
      </c>
      <c r="F6" s="20" t="str">
        <f t="shared" si="0"/>
        <v/>
      </c>
      <c r="G6" s="23" t="str">
        <f t="shared" si="1"/>
        <v/>
      </c>
    </row>
    <row r="7" spans="1:7" ht="21" x14ac:dyDescent="0.35">
      <c r="A7" s="27"/>
      <c r="B7" s="28"/>
      <c r="C7" s="28"/>
      <c r="D7" s="28"/>
      <c r="E7" s="29"/>
      <c r="F7" s="20" t="str">
        <f t="shared" si="0"/>
        <v/>
      </c>
      <c r="G7" s="23" t="str">
        <f t="shared" si="1"/>
        <v/>
      </c>
    </row>
    <row r="8" spans="1:7" ht="21" x14ac:dyDescent="0.35">
      <c r="A8" s="27"/>
      <c r="B8" s="28"/>
      <c r="C8" s="28"/>
      <c r="D8" s="28"/>
      <c r="E8" s="29"/>
      <c r="F8" s="20" t="str">
        <f t="shared" si="0"/>
        <v/>
      </c>
      <c r="G8" s="23" t="str">
        <f t="shared" si="1"/>
        <v/>
      </c>
    </row>
    <row r="9" spans="1:7" ht="21" x14ac:dyDescent="0.35">
      <c r="A9" s="27"/>
      <c r="B9" s="28"/>
      <c r="C9" s="28"/>
      <c r="D9" s="28"/>
      <c r="E9" s="29"/>
      <c r="F9" s="20" t="str">
        <f t="shared" si="0"/>
        <v/>
      </c>
      <c r="G9" s="23" t="str">
        <f t="shared" si="1"/>
        <v/>
      </c>
    </row>
    <row r="10" spans="1:7" ht="21" x14ac:dyDescent="0.35">
      <c r="A10" s="27"/>
      <c r="B10" s="28"/>
      <c r="C10" s="28"/>
      <c r="D10" s="28"/>
      <c r="E10" s="29"/>
      <c r="F10" s="20" t="str">
        <f t="shared" si="0"/>
        <v/>
      </c>
      <c r="G10" s="23" t="str">
        <f t="shared" si="1"/>
        <v/>
      </c>
    </row>
    <row r="11" spans="1:7" ht="21" x14ac:dyDescent="0.35">
      <c r="A11" s="27"/>
      <c r="B11" s="28"/>
      <c r="C11" s="28"/>
      <c r="D11" s="28"/>
      <c r="E11" s="29"/>
      <c r="F11" s="20" t="str">
        <f t="shared" si="0"/>
        <v/>
      </c>
      <c r="G11" s="23" t="str">
        <f t="shared" si="1"/>
        <v/>
      </c>
    </row>
    <row r="12" spans="1:7" ht="21" x14ac:dyDescent="0.35">
      <c r="A12" s="27"/>
      <c r="B12" s="28"/>
      <c r="C12" s="28"/>
      <c r="D12" s="28"/>
      <c r="E12" s="29"/>
      <c r="F12" s="20" t="str">
        <f t="shared" si="0"/>
        <v/>
      </c>
      <c r="G12" s="23" t="str">
        <f t="shared" si="1"/>
        <v/>
      </c>
    </row>
    <row r="13" spans="1:7" ht="21" x14ac:dyDescent="0.35">
      <c r="A13" s="27"/>
      <c r="B13" s="28"/>
      <c r="C13" s="28"/>
      <c r="D13" s="28"/>
      <c r="E13" s="29"/>
      <c r="F13" s="20" t="str">
        <f t="shared" si="0"/>
        <v/>
      </c>
      <c r="G13" s="23" t="str">
        <f t="shared" si="1"/>
        <v/>
      </c>
    </row>
    <row r="14" spans="1:7" ht="21" x14ac:dyDescent="0.35">
      <c r="A14" s="27"/>
      <c r="B14" s="28"/>
      <c r="C14" s="28"/>
      <c r="D14" s="28"/>
      <c r="E14" s="29"/>
      <c r="F14" s="20" t="str">
        <f t="shared" si="0"/>
        <v/>
      </c>
      <c r="G14" s="23" t="str">
        <f t="shared" si="1"/>
        <v/>
      </c>
    </row>
    <row r="15" spans="1:7" ht="21" x14ac:dyDescent="0.35">
      <c r="A15" s="27"/>
      <c r="B15" s="28"/>
      <c r="C15" s="28"/>
      <c r="D15" s="28"/>
      <c r="E15" s="29"/>
      <c r="F15" s="20" t="str">
        <f t="shared" si="0"/>
        <v/>
      </c>
      <c r="G15" s="23" t="str">
        <f t="shared" si="1"/>
        <v/>
      </c>
    </row>
    <row r="16" spans="1:7" ht="21" x14ac:dyDescent="0.35">
      <c r="A16" s="27"/>
      <c r="B16" s="28"/>
      <c r="C16" s="28"/>
      <c r="D16" s="28"/>
      <c r="E16" s="29"/>
      <c r="F16" s="20" t="str">
        <f t="shared" si="0"/>
        <v/>
      </c>
      <c r="G16" s="23" t="str">
        <f t="shared" si="1"/>
        <v/>
      </c>
    </row>
    <row r="17" spans="1:7" ht="21" x14ac:dyDescent="0.35">
      <c r="A17" s="27"/>
      <c r="B17" s="28"/>
      <c r="C17" s="28"/>
      <c r="D17" s="28"/>
      <c r="E17" s="29"/>
      <c r="F17" s="20" t="str">
        <f t="shared" si="0"/>
        <v/>
      </c>
      <c r="G17" s="23" t="str">
        <f t="shared" si="1"/>
        <v/>
      </c>
    </row>
    <row r="18" spans="1:7" ht="21" x14ac:dyDescent="0.35">
      <c r="A18" s="27"/>
      <c r="B18" s="28"/>
      <c r="C18" s="28"/>
      <c r="D18" s="28"/>
      <c r="E18" s="29"/>
      <c r="F18" s="20" t="str">
        <f t="shared" si="0"/>
        <v/>
      </c>
      <c r="G18" s="23" t="str">
        <f t="shared" si="1"/>
        <v/>
      </c>
    </row>
    <row r="19" spans="1:7" ht="21" x14ac:dyDescent="0.35">
      <c r="A19" s="27"/>
      <c r="B19" s="28"/>
      <c r="C19" s="28"/>
      <c r="D19" s="28"/>
      <c r="E19" s="29"/>
      <c r="F19" s="20" t="str">
        <f t="shared" si="0"/>
        <v/>
      </c>
      <c r="G19" s="23" t="str">
        <f t="shared" si="1"/>
        <v/>
      </c>
    </row>
    <row r="20" spans="1:7" ht="21" x14ac:dyDescent="0.35">
      <c r="A20" s="27"/>
      <c r="B20" s="28"/>
      <c r="C20" s="28"/>
      <c r="D20" s="28"/>
      <c r="E20" s="29"/>
      <c r="F20" s="20" t="str">
        <f t="shared" si="0"/>
        <v/>
      </c>
      <c r="G20" s="23" t="str">
        <f t="shared" si="1"/>
        <v/>
      </c>
    </row>
    <row r="21" spans="1:7" ht="21" x14ac:dyDescent="0.35">
      <c r="A21" s="27"/>
      <c r="B21" s="28"/>
      <c r="C21" s="28"/>
      <c r="D21" s="28"/>
      <c r="E21" s="29"/>
      <c r="F21" s="20" t="str">
        <f t="shared" si="0"/>
        <v/>
      </c>
      <c r="G21" s="23" t="str">
        <f t="shared" si="1"/>
        <v/>
      </c>
    </row>
    <row r="22" spans="1:7" ht="21" x14ac:dyDescent="0.35">
      <c r="A22" s="27"/>
      <c r="B22" s="28"/>
      <c r="C22" s="28"/>
      <c r="D22" s="28"/>
      <c r="E22" s="29"/>
      <c r="F22" s="20" t="str">
        <f t="shared" si="0"/>
        <v/>
      </c>
      <c r="G22" s="23" t="str">
        <f t="shared" si="1"/>
        <v/>
      </c>
    </row>
    <row r="23" spans="1:7" ht="21" x14ac:dyDescent="0.35">
      <c r="A23" s="27"/>
      <c r="B23" s="28"/>
      <c r="C23" s="28"/>
      <c r="D23" s="28"/>
      <c r="E23" s="29"/>
      <c r="F23" s="20" t="str">
        <f t="shared" si="0"/>
        <v/>
      </c>
      <c r="G23" s="23" t="str">
        <f t="shared" si="1"/>
        <v/>
      </c>
    </row>
    <row r="24" spans="1:7" ht="21" x14ac:dyDescent="0.35">
      <c r="A24" s="27"/>
      <c r="B24" s="28"/>
      <c r="C24" s="28"/>
      <c r="D24" s="28"/>
      <c r="E24" s="29"/>
      <c r="F24" s="20" t="str">
        <f t="shared" si="0"/>
        <v/>
      </c>
      <c r="G24" s="23" t="str">
        <f t="shared" si="1"/>
        <v/>
      </c>
    </row>
    <row r="25" spans="1:7" ht="21" x14ac:dyDescent="0.35">
      <c r="A25" s="27"/>
      <c r="B25" s="28"/>
      <c r="C25" s="28"/>
      <c r="D25" s="28"/>
      <c r="E25" s="29"/>
      <c r="F25" s="20" t="str">
        <f t="shared" si="0"/>
        <v/>
      </c>
      <c r="G25" s="23" t="str">
        <f t="shared" si="1"/>
        <v/>
      </c>
    </row>
    <row r="26" spans="1:7" ht="21" x14ac:dyDescent="0.35">
      <c r="A26" s="27"/>
      <c r="B26" s="28"/>
      <c r="C26" s="28"/>
      <c r="D26" s="28"/>
      <c r="E26" s="29"/>
      <c r="F26" s="20" t="str">
        <f t="shared" si="0"/>
        <v/>
      </c>
      <c r="G26" s="23" t="str">
        <f t="shared" si="1"/>
        <v/>
      </c>
    </row>
    <row r="27" spans="1:7" ht="21" x14ac:dyDescent="0.35">
      <c r="A27" s="27"/>
      <c r="B27" s="28"/>
      <c r="C27" s="28"/>
      <c r="D27" s="28"/>
      <c r="E27" s="29"/>
      <c r="F27" s="20" t="str">
        <f t="shared" si="0"/>
        <v/>
      </c>
      <c r="G27" s="23" t="str">
        <f t="shared" si="1"/>
        <v/>
      </c>
    </row>
    <row r="28" spans="1:7" ht="21" x14ac:dyDescent="0.35">
      <c r="A28" s="27"/>
      <c r="B28" s="28"/>
      <c r="C28" s="28"/>
      <c r="D28" s="28"/>
      <c r="E28" s="29"/>
      <c r="F28" s="20" t="str">
        <f t="shared" si="0"/>
        <v/>
      </c>
      <c r="G28" s="23" t="str">
        <f t="shared" si="1"/>
        <v/>
      </c>
    </row>
    <row r="29" spans="1:7" ht="21" x14ac:dyDescent="0.35">
      <c r="A29" s="27"/>
      <c r="B29" s="28"/>
      <c r="C29" s="28"/>
      <c r="D29" s="28"/>
      <c r="E29" s="29"/>
      <c r="F29" s="20" t="str">
        <f t="shared" si="0"/>
        <v/>
      </c>
      <c r="G29" s="23" t="str">
        <f t="shared" si="1"/>
        <v/>
      </c>
    </row>
    <row r="30" spans="1:7" ht="21" x14ac:dyDescent="0.35">
      <c r="A30" s="27"/>
      <c r="B30" s="28"/>
      <c r="C30" s="28"/>
      <c r="D30" s="28"/>
      <c r="E30" s="29"/>
      <c r="F30" s="20" t="str">
        <f t="shared" si="0"/>
        <v/>
      </c>
      <c r="G30" s="23" t="str">
        <f t="shared" si="1"/>
        <v/>
      </c>
    </row>
    <row r="31" spans="1:7" ht="21" x14ac:dyDescent="0.35">
      <c r="A31" s="27"/>
      <c r="B31" s="28"/>
      <c r="C31" s="28"/>
      <c r="D31" s="28"/>
      <c r="E31" s="29"/>
      <c r="F31" s="20" t="str">
        <f t="shared" si="0"/>
        <v/>
      </c>
      <c r="G31" s="23" t="str">
        <f t="shared" si="1"/>
        <v/>
      </c>
    </row>
    <row r="32" spans="1:7" ht="21" x14ac:dyDescent="0.35">
      <c r="A32" s="27"/>
      <c r="B32" s="28"/>
      <c r="C32" s="28"/>
      <c r="D32" s="28"/>
      <c r="E32" s="29"/>
      <c r="F32" s="20" t="str">
        <f t="shared" si="0"/>
        <v/>
      </c>
      <c r="G32" s="23" t="str">
        <f t="shared" si="1"/>
        <v/>
      </c>
    </row>
    <row r="33" spans="1:7" ht="21" x14ac:dyDescent="0.35">
      <c r="A33" s="27"/>
      <c r="B33" s="28"/>
      <c r="C33" s="28"/>
      <c r="D33" s="28"/>
      <c r="E33" s="29"/>
      <c r="F33" s="20" t="str">
        <f t="shared" si="0"/>
        <v/>
      </c>
      <c r="G33" s="23" t="str">
        <f t="shared" si="1"/>
        <v/>
      </c>
    </row>
    <row r="34" spans="1:7" ht="21" x14ac:dyDescent="0.35">
      <c r="A34" s="27"/>
      <c r="B34" s="28"/>
      <c r="C34" s="28"/>
      <c r="D34" s="28"/>
      <c r="E34" s="29"/>
      <c r="F34" s="20" t="str">
        <f t="shared" ref="F34:F65" si="2">IF(A34="","",TEXT(A34,"mmmm yyyy"))</f>
        <v/>
      </c>
      <c r="G34" s="23" t="str">
        <f t="shared" si="1"/>
        <v/>
      </c>
    </row>
    <row r="35" spans="1:7" ht="21" x14ac:dyDescent="0.35">
      <c r="A35" s="27"/>
      <c r="B35" s="28"/>
      <c r="C35" s="28"/>
      <c r="D35" s="28"/>
      <c r="E35" s="29"/>
      <c r="F35" s="20" t="str">
        <f t="shared" si="2"/>
        <v/>
      </c>
      <c r="G35" s="23" t="str">
        <f t="shared" si="1"/>
        <v/>
      </c>
    </row>
    <row r="36" spans="1:7" ht="21" x14ac:dyDescent="0.35">
      <c r="A36" s="27"/>
      <c r="B36" s="28"/>
      <c r="C36" s="28"/>
      <c r="D36" s="28"/>
      <c r="E36" s="29"/>
      <c r="F36" s="20" t="str">
        <f t="shared" si="2"/>
        <v/>
      </c>
      <c r="G36" s="23" t="str">
        <f t="shared" si="1"/>
        <v/>
      </c>
    </row>
    <row r="37" spans="1:7" ht="21" x14ac:dyDescent="0.35">
      <c r="A37" s="27"/>
      <c r="B37" s="28"/>
      <c r="C37" s="28"/>
      <c r="D37" s="28"/>
      <c r="E37" s="29"/>
      <c r="F37" s="20" t="str">
        <f t="shared" si="2"/>
        <v/>
      </c>
      <c r="G37" s="23" t="str">
        <f t="shared" si="1"/>
        <v/>
      </c>
    </row>
    <row r="38" spans="1:7" ht="21" x14ac:dyDescent="0.35">
      <c r="A38" s="27"/>
      <c r="B38" s="28"/>
      <c r="C38" s="28"/>
      <c r="D38" s="28"/>
      <c r="E38" s="29"/>
      <c r="F38" s="20" t="str">
        <f t="shared" si="2"/>
        <v/>
      </c>
      <c r="G38" s="23" t="str">
        <f t="shared" si="1"/>
        <v/>
      </c>
    </row>
    <row r="39" spans="1:7" ht="21" x14ac:dyDescent="0.35">
      <c r="A39" s="27"/>
      <c r="B39" s="28"/>
      <c r="C39" s="28"/>
      <c r="D39" s="28"/>
      <c r="E39" s="29"/>
      <c r="F39" s="20" t="str">
        <f t="shared" si="2"/>
        <v/>
      </c>
      <c r="G39" s="23" t="str">
        <f t="shared" si="1"/>
        <v/>
      </c>
    </row>
    <row r="40" spans="1:7" ht="21" x14ac:dyDescent="0.35">
      <c r="A40" s="27"/>
      <c r="B40" s="28"/>
      <c r="C40" s="28"/>
      <c r="D40" s="28"/>
      <c r="E40" s="29"/>
      <c r="F40" s="20" t="str">
        <f t="shared" si="2"/>
        <v/>
      </c>
      <c r="G40" s="23" t="str">
        <f t="shared" si="1"/>
        <v/>
      </c>
    </row>
    <row r="41" spans="1:7" ht="21" x14ac:dyDescent="0.35">
      <c r="A41" s="27"/>
      <c r="B41" s="28"/>
      <c r="C41" s="28"/>
      <c r="D41" s="28"/>
      <c r="E41" s="29"/>
      <c r="F41" s="20" t="str">
        <f t="shared" si="2"/>
        <v/>
      </c>
      <c r="G41" s="23" t="str">
        <f t="shared" si="1"/>
        <v/>
      </c>
    </row>
    <row r="42" spans="1:7" ht="21" x14ac:dyDescent="0.35">
      <c r="A42" s="27"/>
      <c r="B42" s="28"/>
      <c r="C42" s="28"/>
      <c r="D42" s="28"/>
      <c r="E42" s="29"/>
      <c r="F42" s="20" t="str">
        <f t="shared" si="2"/>
        <v/>
      </c>
      <c r="G42" s="23" t="str">
        <f t="shared" si="1"/>
        <v/>
      </c>
    </row>
    <row r="43" spans="1:7" ht="21" x14ac:dyDescent="0.35">
      <c r="A43" s="27"/>
      <c r="B43" s="28"/>
      <c r="C43" s="28"/>
      <c r="D43" s="28"/>
      <c r="E43" s="29"/>
      <c r="F43" s="20" t="str">
        <f t="shared" si="2"/>
        <v/>
      </c>
      <c r="G43" s="23" t="str">
        <f t="shared" si="1"/>
        <v/>
      </c>
    </row>
    <row r="44" spans="1:7" ht="21" x14ac:dyDescent="0.35">
      <c r="A44" s="27"/>
      <c r="B44" s="28"/>
      <c r="C44" s="28"/>
      <c r="D44" s="28"/>
      <c r="E44" s="29"/>
      <c r="F44" s="20" t="str">
        <f t="shared" si="2"/>
        <v/>
      </c>
      <c r="G44" s="23" t="str">
        <f t="shared" si="1"/>
        <v/>
      </c>
    </row>
    <row r="45" spans="1:7" ht="21" x14ac:dyDescent="0.35">
      <c r="A45" s="27"/>
      <c r="B45" s="28"/>
      <c r="C45" s="28"/>
      <c r="D45" s="28"/>
      <c r="E45" s="29"/>
      <c r="F45" s="20" t="str">
        <f t="shared" si="2"/>
        <v/>
      </c>
      <c r="G45" s="23" t="str">
        <f t="shared" si="1"/>
        <v/>
      </c>
    </row>
    <row r="46" spans="1:7" ht="21" x14ac:dyDescent="0.35">
      <c r="A46" s="27"/>
      <c r="B46" s="28"/>
      <c r="C46" s="28"/>
      <c r="D46" s="28"/>
      <c r="E46" s="29"/>
      <c r="F46" s="20" t="str">
        <f t="shared" si="2"/>
        <v/>
      </c>
      <c r="G46" s="23" t="str">
        <f t="shared" si="1"/>
        <v/>
      </c>
    </row>
    <row r="47" spans="1:7" ht="21" x14ac:dyDescent="0.35">
      <c r="A47" s="27"/>
      <c r="B47" s="28"/>
      <c r="C47" s="28"/>
      <c r="D47" s="28"/>
      <c r="E47" s="29"/>
      <c r="F47" s="20" t="str">
        <f t="shared" si="2"/>
        <v/>
      </c>
      <c r="G47" s="23" t="str">
        <f t="shared" si="1"/>
        <v/>
      </c>
    </row>
    <row r="48" spans="1:7" ht="21" x14ac:dyDescent="0.35">
      <c r="A48" s="27"/>
      <c r="B48" s="28"/>
      <c r="C48" s="28"/>
      <c r="D48" s="28"/>
      <c r="E48" s="29"/>
      <c r="F48" s="20" t="str">
        <f t="shared" si="2"/>
        <v/>
      </c>
      <c r="G48" s="23" t="str">
        <f t="shared" si="1"/>
        <v/>
      </c>
    </row>
    <row r="49" spans="1:7" ht="21" x14ac:dyDescent="0.35">
      <c r="A49" s="27"/>
      <c r="B49" s="28"/>
      <c r="C49" s="28"/>
      <c r="D49" s="28"/>
      <c r="E49" s="29"/>
      <c r="F49" s="20" t="str">
        <f t="shared" si="2"/>
        <v/>
      </c>
      <c r="G49" s="23" t="str">
        <f t="shared" si="1"/>
        <v/>
      </c>
    </row>
    <row r="50" spans="1:7" ht="21" x14ac:dyDescent="0.35">
      <c r="A50" s="27"/>
      <c r="B50" s="28"/>
      <c r="C50" s="28"/>
      <c r="D50" s="28"/>
      <c r="E50" s="29"/>
      <c r="F50" s="20" t="str">
        <f t="shared" si="2"/>
        <v/>
      </c>
      <c r="G50" s="23" t="str">
        <f t="shared" si="1"/>
        <v/>
      </c>
    </row>
    <row r="51" spans="1:7" ht="21" x14ac:dyDescent="0.35">
      <c r="A51" s="27"/>
      <c r="B51" s="28"/>
      <c r="C51" s="28"/>
      <c r="D51" s="28"/>
      <c r="E51" s="29"/>
      <c r="F51" s="20" t="str">
        <f t="shared" si="2"/>
        <v/>
      </c>
      <c r="G51" s="23" t="str">
        <f t="shared" si="1"/>
        <v/>
      </c>
    </row>
    <row r="52" spans="1:7" ht="21" x14ac:dyDescent="0.35">
      <c r="A52" s="27"/>
      <c r="B52" s="28"/>
      <c r="C52" s="28"/>
      <c r="D52" s="28"/>
      <c r="E52" s="29"/>
      <c r="F52" s="20" t="str">
        <f t="shared" si="2"/>
        <v/>
      </c>
      <c r="G52" s="23" t="str">
        <f t="shared" si="1"/>
        <v/>
      </c>
    </row>
    <row r="53" spans="1:7" ht="21" x14ac:dyDescent="0.35">
      <c r="A53" s="27"/>
      <c r="B53" s="28"/>
      <c r="C53" s="28"/>
      <c r="D53" s="28"/>
      <c r="E53" s="29"/>
      <c r="F53" s="20" t="str">
        <f t="shared" si="2"/>
        <v/>
      </c>
      <c r="G53" s="23" t="str">
        <f t="shared" si="1"/>
        <v/>
      </c>
    </row>
    <row r="54" spans="1:7" ht="21" x14ac:dyDescent="0.35">
      <c r="A54" s="27"/>
      <c r="B54" s="28"/>
      <c r="C54" s="28"/>
      <c r="D54" s="28"/>
      <c r="E54" s="29"/>
      <c r="F54" s="20" t="str">
        <f t="shared" si="2"/>
        <v/>
      </c>
      <c r="G54" s="23" t="str">
        <f t="shared" si="1"/>
        <v/>
      </c>
    </row>
    <row r="55" spans="1:7" ht="21" x14ac:dyDescent="0.35">
      <c r="A55" s="27"/>
      <c r="B55" s="28"/>
      <c r="C55" s="28"/>
      <c r="D55" s="28"/>
      <c r="E55" s="29"/>
      <c r="F55" s="20" t="str">
        <f t="shared" si="2"/>
        <v/>
      </c>
      <c r="G55" s="23" t="str">
        <f t="shared" si="1"/>
        <v/>
      </c>
    </row>
    <row r="56" spans="1:7" ht="21" x14ac:dyDescent="0.35">
      <c r="A56" s="27"/>
      <c r="B56" s="28"/>
      <c r="C56" s="28"/>
      <c r="D56" s="28"/>
      <c r="E56" s="29"/>
      <c r="F56" s="20" t="str">
        <f t="shared" si="2"/>
        <v/>
      </c>
      <c r="G56" s="23" t="str">
        <f t="shared" si="1"/>
        <v/>
      </c>
    </row>
    <row r="57" spans="1:7" ht="21" x14ac:dyDescent="0.35">
      <c r="A57" s="27"/>
      <c r="B57" s="28"/>
      <c r="C57" s="28"/>
      <c r="D57" s="28"/>
      <c r="E57" s="29"/>
      <c r="F57" s="20" t="str">
        <f t="shared" si="2"/>
        <v/>
      </c>
      <c r="G57" s="23" t="str">
        <f t="shared" si="1"/>
        <v/>
      </c>
    </row>
    <row r="58" spans="1:7" ht="21" x14ac:dyDescent="0.35">
      <c r="A58" s="27"/>
      <c r="B58" s="28"/>
      <c r="C58" s="28"/>
      <c r="D58" s="28"/>
      <c r="E58" s="29"/>
      <c r="F58" s="20" t="str">
        <f t="shared" si="2"/>
        <v/>
      </c>
      <c r="G58" s="23" t="str">
        <f t="shared" si="1"/>
        <v/>
      </c>
    </row>
    <row r="59" spans="1:7" ht="21" x14ac:dyDescent="0.35">
      <c r="A59" s="27"/>
      <c r="B59" s="28"/>
      <c r="C59" s="28"/>
      <c r="D59" s="28"/>
      <c r="E59" s="29"/>
      <c r="F59" s="20" t="str">
        <f t="shared" si="2"/>
        <v/>
      </c>
      <c r="G59" s="23" t="str">
        <f t="shared" si="1"/>
        <v/>
      </c>
    </row>
    <row r="60" spans="1:7" ht="21" x14ac:dyDescent="0.35">
      <c r="A60" s="27"/>
      <c r="B60" s="28"/>
      <c r="C60" s="28"/>
      <c r="D60" s="28"/>
      <c r="E60" s="29"/>
      <c r="F60" s="20" t="str">
        <f t="shared" si="2"/>
        <v/>
      </c>
      <c r="G60" s="23" t="str">
        <f t="shared" si="1"/>
        <v/>
      </c>
    </row>
    <row r="61" spans="1:7" ht="21" x14ac:dyDescent="0.35">
      <c r="A61" s="27"/>
      <c r="B61" s="28"/>
      <c r="C61" s="28"/>
      <c r="D61" s="28"/>
      <c r="E61" s="29"/>
      <c r="F61" s="20" t="str">
        <f t="shared" si="2"/>
        <v/>
      </c>
      <c r="G61" s="23" t="str">
        <f t="shared" si="1"/>
        <v/>
      </c>
    </row>
    <row r="62" spans="1:7" ht="21" x14ac:dyDescent="0.35">
      <c r="A62" s="27"/>
      <c r="B62" s="28"/>
      <c r="C62" s="28"/>
      <c r="D62" s="28"/>
      <c r="E62" s="29"/>
      <c r="F62" s="20" t="str">
        <f t="shared" si="2"/>
        <v/>
      </c>
      <c r="G62" s="23" t="str">
        <f t="shared" si="1"/>
        <v/>
      </c>
    </row>
    <row r="63" spans="1:7" ht="21" x14ac:dyDescent="0.35">
      <c r="A63" s="27"/>
      <c r="B63" s="28"/>
      <c r="C63" s="28"/>
      <c r="D63" s="28"/>
      <c r="E63" s="29"/>
      <c r="F63" s="20" t="str">
        <f t="shared" si="2"/>
        <v/>
      </c>
      <c r="G63" s="23" t="str">
        <f t="shared" si="1"/>
        <v/>
      </c>
    </row>
    <row r="64" spans="1:7" ht="21" x14ac:dyDescent="0.35">
      <c r="A64" s="27"/>
      <c r="B64" s="28"/>
      <c r="C64" s="28"/>
      <c r="D64" s="28"/>
      <c r="E64" s="29"/>
      <c r="F64" s="20" t="str">
        <f t="shared" si="2"/>
        <v/>
      </c>
      <c r="G64" s="23" t="str">
        <f t="shared" si="1"/>
        <v/>
      </c>
    </row>
    <row r="65" spans="1:7" ht="21" x14ac:dyDescent="0.35">
      <c r="A65" s="27"/>
      <c r="B65" s="28"/>
      <c r="C65" s="28"/>
      <c r="D65" s="28"/>
      <c r="E65" s="29"/>
      <c r="F65" s="20" t="str">
        <f t="shared" si="2"/>
        <v/>
      </c>
      <c r="G65" s="23" t="str">
        <f t="shared" si="1"/>
        <v/>
      </c>
    </row>
    <row r="66" spans="1:7" ht="21" x14ac:dyDescent="0.35">
      <c r="A66" s="27"/>
      <c r="B66" s="28"/>
      <c r="C66" s="28"/>
      <c r="D66" s="28"/>
      <c r="E66" s="29"/>
      <c r="F66" s="20" t="str">
        <f t="shared" ref="F66:F97" si="3">IF(A66="","",TEXT(A66,"mmmm yyyy"))</f>
        <v/>
      </c>
      <c r="G66" s="23" t="str">
        <f t="shared" si="1"/>
        <v/>
      </c>
    </row>
    <row r="67" spans="1:7" ht="21" x14ac:dyDescent="0.35">
      <c r="A67" s="27"/>
      <c r="B67" s="28"/>
      <c r="C67" s="28"/>
      <c r="D67" s="28"/>
      <c r="E67" s="29"/>
      <c r="F67" s="20" t="str">
        <f t="shared" si="3"/>
        <v/>
      </c>
      <c r="G67" s="23" t="str">
        <f t="shared" si="1"/>
        <v/>
      </c>
    </row>
    <row r="68" spans="1:7" ht="21" x14ac:dyDescent="0.35">
      <c r="A68" s="27"/>
      <c r="B68" s="28"/>
      <c r="C68" s="28"/>
      <c r="D68" s="28"/>
      <c r="E68" s="29"/>
      <c r="F68" s="20" t="str">
        <f t="shared" si="3"/>
        <v/>
      </c>
      <c r="G68" s="23" t="str">
        <f t="shared" ref="G68:G131" si="4">IFERROR(IF(A68="","",IF(B68="Revenu",E68,-E68))+G67,"")</f>
        <v/>
      </c>
    </row>
    <row r="69" spans="1:7" ht="21" x14ac:dyDescent="0.35">
      <c r="A69" s="27"/>
      <c r="B69" s="28"/>
      <c r="C69" s="28"/>
      <c r="D69" s="28"/>
      <c r="E69" s="29"/>
      <c r="F69" s="20" t="str">
        <f t="shared" si="3"/>
        <v/>
      </c>
      <c r="G69" s="23" t="str">
        <f t="shared" si="4"/>
        <v/>
      </c>
    </row>
    <row r="70" spans="1:7" ht="21" x14ac:dyDescent="0.35">
      <c r="A70" s="27"/>
      <c r="B70" s="28"/>
      <c r="C70" s="28"/>
      <c r="D70" s="28"/>
      <c r="E70" s="29"/>
      <c r="F70" s="20" t="str">
        <f t="shared" si="3"/>
        <v/>
      </c>
      <c r="G70" s="23" t="str">
        <f t="shared" si="4"/>
        <v/>
      </c>
    </row>
    <row r="71" spans="1:7" ht="21" x14ac:dyDescent="0.35">
      <c r="A71" s="27"/>
      <c r="B71" s="28"/>
      <c r="C71" s="28"/>
      <c r="D71" s="28"/>
      <c r="E71" s="29"/>
      <c r="F71" s="20" t="str">
        <f t="shared" si="3"/>
        <v/>
      </c>
      <c r="G71" s="23" t="str">
        <f t="shared" si="4"/>
        <v/>
      </c>
    </row>
    <row r="72" spans="1:7" ht="21" x14ac:dyDescent="0.35">
      <c r="A72" s="27"/>
      <c r="B72" s="28"/>
      <c r="C72" s="28"/>
      <c r="D72" s="28"/>
      <c r="E72" s="29"/>
      <c r="F72" s="20" t="str">
        <f t="shared" si="3"/>
        <v/>
      </c>
      <c r="G72" s="23" t="str">
        <f t="shared" si="4"/>
        <v/>
      </c>
    </row>
    <row r="73" spans="1:7" ht="21" x14ac:dyDescent="0.35">
      <c r="A73" s="27"/>
      <c r="B73" s="28"/>
      <c r="C73" s="28"/>
      <c r="D73" s="28"/>
      <c r="E73" s="29"/>
      <c r="F73" s="20" t="str">
        <f t="shared" si="3"/>
        <v/>
      </c>
      <c r="G73" s="23" t="str">
        <f t="shared" si="4"/>
        <v/>
      </c>
    </row>
    <row r="74" spans="1:7" ht="21" x14ac:dyDescent="0.35">
      <c r="A74" s="27"/>
      <c r="B74" s="28"/>
      <c r="C74" s="28"/>
      <c r="D74" s="28"/>
      <c r="E74" s="29"/>
      <c r="F74" s="20" t="str">
        <f t="shared" si="3"/>
        <v/>
      </c>
      <c r="G74" s="23" t="str">
        <f t="shared" si="4"/>
        <v/>
      </c>
    </row>
    <row r="75" spans="1:7" ht="21" x14ac:dyDescent="0.35">
      <c r="A75" s="27"/>
      <c r="B75" s="28"/>
      <c r="C75" s="28"/>
      <c r="D75" s="28"/>
      <c r="E75" s="29"/>
      <c r="F75" s="20" t="str">
        <f t="shared" si="3"/>
        <v/>
      </c>
      <c r="G75" s="23" t="str">
        <f t="shared" si="4"/>
        <v/>
      </c>
    </row>
    <row r="76" spans="1:7" ht="21" x14ac:dyDescent="0.35">
      <c r="A76" s="27"/>
      <c r="B76" s="28"/>
      <c r="C76" s="28"/>
      <c r="D76" s="28"/>
      <c r="E76" s="29"/>
      <c r="F76" s="20" t="str">
        <f t="shared" si="3"/>
        <v/>
      </c>
      <c r="G76" s="23" t="str">
        <f t="shared" si="4"/>
        <v/>
      </c>
    </row>
    <row r="77" spans="1:7" ht="21" x14ac:dyDescent="0.35">
      <c r="A77" s="27"/>
      <c r="B77" s="28"/>
      <c r="C77" s="28"/>
      <c r="D77" s="28"/>
      <c r="E77" s="29"/>
      <c r="F77" s="20" t="str">
        <f t="shared" si="3"/>
        <v/>
      </c>
      <c r="G77" s="23" t="str">
        <f t="shared" si="4"/>
        <v/>
      </c>
    </row>
    <row r="78" spans="1:7" ht="21" x14ac:dyDescent="0.35">
      <c r="A78" s="27"/>
      <c r="B78" s="28"/>
      <c r="C78" s="28"/>
      <c r="D78" s="28"/>
      <c r="E78" s="29"/>
      <c r="F78" s="20" t="str">
        <f t="shared" si="3"/>
        <v/>
      </c>
      <c r="G78" s="23" t="str">
        <f t="shared" si="4"/>
        <v/>
      </c>
    </row>
    <row r="79" spans="1:7" ht="21" x14ac:dyDescent="0.35">
      <c r="A79" s="27"/>
      <c r="B79" s="28"/>
      <c r="C79" s="28"/>
      <c r="D79" s="28"/>
      <c r="E79" s="29"/>
      <c r="F79" s="20" t="str">
        <f t="shared" si="3"/>
        <v/>
      </c>
      <c r="G79" s="23" t="str">
        <f t="shared" si="4"/>
        <v/>
      </c>
    </row>
    <row r="80" spans="1:7" ht="21" x14ac:dyDescent="0.35">
      <c r="A80" s="27"/>
      <c r="B80" s="28"/>
      <c r="C80" s="28"/>
      <c r="D80" s="28"/>
      <c r="E80" s="29"/>
      <c r="F80" s="20" t="str">
        <f t="shared" si="3"/>
        <v/>
      </c>
      <c r="G80" s="23" t="str">
        <f t="shared" si="4"/>
        <v/>
      </c>
    </row>
    <row r="81" spans="1:7" ht="21" x14ac:dyDescent="0.35">
      <c r="A81" s="27"/>
      <c r="B81" s="28"/>
      <c r="C81" s="28"/>
      <c r="D81" s="28"/>
      <c r="E81" s="29"/>
      <c r="F81" s="20" t="str">
        <f t="shared" si="3"/>
        <v/>
      </c>
      <c r="G81" s="23" t="str">
        <f t="shared" si="4"/>
        <v/>
      </c>
    </row>
    <row r="82" spans="1:7" ht="21" x14ac:dyDescent="0.35">
      <c r="A82" s="27"/>
      <c r="B82" s="28"/>
      <c r="C82" s="28"/>
      <c r="D82" s="28"/>
      <c r="E82" s="29"/>
      <c r="F82" s="20" t="str">
        <f t="shared" si="3"/>
        <v/>
      </c>
      <c r="G82" s="23" t="str">
        <f t="shared" si="4"/>
        <v/>
      </c>
    </row>
    <row r="83" spans="1:7" ht="21" x14ac:dyDescent="0.35">
      <c r="A83" s="27"/>
      <c r="B83" s="28"/>
      <c r="C83" s="28"/>
      <c r="D83" s="28"/>
      <c r="E83" s="29"/>
      <c r="F83" s="20" t="str">
        <f t="shared" si="3"/>
        <v/>
      </c>
      <c r="G83" s="23" t="str">
        <f t="shared" si="4"/>
        <v/>
      </c>
    </row>
    <row r="84" spans="1:7" ht="21" x14ac:dyDescent="0.35">
      <c r="A84" s="27"/>
      <c r="B84" s="28"/>
      <c r="C84" s="28"/>
      <c r="D84" s="28"/>
      <c r="E84" s="29"/>
      <c r="F84" s="20" t="str">
        <f t="shared" si="3"/>
        <v/>
      </c>
      <c r="G84" s="23" t="str">
        <f t="shared" si="4"/>
        <v/>
      </c>
    </row>
    <row r="85" spans="1:7" ht="21" x14ac:dyDescent="0.35">
      <c r="A85" s="27"/>
      <c r="B85" s="28"/>
      <c r="C85" s="28"/>
      <c r="D85" s="28"/>
      <c r="E85" s="29"/>
      <c r="F85" s="20" t="str">
        <f t="shared" si="3"/>
        <v/>
      </c>
      <c r="G85" s="23" t="str">
        <f t="shared" si="4"/>
        <v/>
      </c>
    </row>
    <row r="86" spans="1:7" ht="21" x14ac:dyDescent="0.35">
      <c r="A86" s="27"/>
      <c r="B86" s="28"/>
      <c r="C86" s="28"/>
      <c r="D86" s="28"/>
      <c r="E86" s="29"/>
      <c r="F86" s="20" t="str">
        <f t="shared" si="3"/>
        <v/>
      </c>
      <c r="G86" s="23" t="str">
        <f t="shared" si="4"/>
        <v/>
      </c>
    </row>
    <row r="87" spans="1:7" ht="21" x14ac:dyDescent="0.35">
      <c r="A87" s="27"/>
      <c r="B87" s="28"/>
      <c r="C87" s="28"/>
      <c r="D87" s="28"/>
      <c r="E87" s="29"/>
      <c r="F87" s="20" t="str">
        <f t="shared" si="3"/>
        <v/>
      </c>
      <c r="G87" s="23" t="str">
        <f t="shared" si="4"/>
        <v/>
      </c>
    </row>
    <row r="88" spans="1:7" ht="21" x14ac:dyDescent="0.35">
      <c r="A88" s="27"/>
      <c r="B88" s="28"/>
      <c r="C88" s="28"/>
      <c r="D88" s="28"/>
      <c r="E88" s="29"/>
      <c r="F88" s="20" t="str">
        <f t="shared" si="3"/>
        <v/>
      </c>
      <c r="G88" s="23" t="str">
        <f t="shared" si="4"/>
        <v/>
      </c>
    </row>
    <row r="89" spans="1:7" ht="21" x14ac:dyDescent="0.35">
      <c r="A89" s="27"/>
      <c r="B89" s="28"/>
      <c r="C89" s="28"/>
      <c r="D89" s="28"/>
      <c r="E89" s="29"/>
      <c r="F89" s="20" t="str">
        <f t="shared" si="3"/>
        <v/>
      </c>
      <c r="G89" s="23" t="str">
        <f t="shared" si="4"/>
        <v/>
      </c>
    </row>
    <row r="90" spans="1:7" ht="21" x14ac:dyDescent="0.35">
      <c r="A90" s="27"/>
      <c r="B90" s="28"/>
      <c r="C90" s="28"/>
      <c r="D90" s="28"/>
      <c r="E90" s="29"/>
      <c r="F90" s="20" t="str">
        <f t="shared" si="3"/>
        <v/>
      </c>
      <c r="G90" s="23" t="str">
        <f t="shared" si="4"/>
        <v/>
      </c>
    </row>
    <row r="91" spans="1:7" ht="21" x14ac:dyDescent="0.35">
      <c r="A91" s="27"/>
      <c r="B91" s="28"/>
      <c r="C91" s="28"/>
      <c r="D91" s="28"/>
      <c r="E91" s="29"/>
      <c r="F91" s="20" t="str">
        <f t="shared" si="3"/>
        <v/>
      </c>
      <c r="G91" s="23" t="str">
        <f t="shared" si="4"/>
        <v/>
      </c>
    </row>
    <row r="92" spans="1:7" ht="21" x14ac:dyDescent="0.35">
      <c r="A92" s="27"/>
      <c r="B92" s="28"/>
      <c r="C92" s="28"/>
      <c r="D92" s="28"/>
      <c r="E92" s="29"/>
      <c r="F92" s="20" t="str">
        <f t="shared" si="3"/>
        <v/>
      </c>
      <c r="G92" s="23" t="str">
        <f t="shared" si="4"/>
        <v/>
      </c>
    </row>
    <row r="93" spans="1:7" ht="21" x14ac:dyDescent="0.35">
      <c r="A93" s="27"/>
      <c r="B93" s="28"/>
      <c r="C93" s="28"/>
      <c r="D93" s="28"/>
      <c r="E93" s="29"/>
      <c r="F93" s="20" t="str">
        <f t="shared" si="3"/>
        <v/>
      </c>
      <c r="G93" s="23" t="str">
        <f t="shared" si="4"/>
        <v/>
      </c>
    </row>
    <row r="94" spans="1:7" ht="21" x14ac:dyDescent="0.35">
      <c r="A94" s="27"/>
      <c r="B94" s="28"/>
      <c r="C94" s="28"/>
      <c r="D94" s="28"/>
      <c r="E94" s="29"/>
      <c r="F94" s="20" t="str">
        <f t="shared" si="3"/>
        <v/>
      </c>
      <c r="G94" s="23" t="str">
        <f t="shared" si="4"/>
        <v/>
      </c>
    </row>
    <row r="95" spans="1:7" ht="21" x14ac:dyDescent="0.35">
      <c r="A95" s="27"/>
      <c r="B95" s="28"/>
      <c r="C95" s="28"/>
      <c r="D95" s="28"/>
      <c r="E95" s="29"/>
      <c r="F95" s="20" t="str">
        <f t="shared" si="3"/>
        <v/>
      </c>
      <c r="G95" s="23" t="str">
        <f t="shared" si="4"/>
        <v/>
      </c>
    </row>
    <row r="96" spans="1:7" ht="21" x14ac:dyDescent="0.35">
      <c r="A96" s="27"/>
      <c r="B96" s="28"/>
      <c r="C96" s="28"/>
      <c r="D96" s="28"/>
      <c r="E96" s="29"/>
      <c r="F96" s="20" t="str">
        <f t="shared" si="3"/>
        <v/>
      </c>
      <c r="G96" s="23" t="str">
        <f t="shared" si="4"/>
        <v/>
      </c>
    </row>
    <row r="97" spans="1:7" ht="21" x14ac:dyDescent="0.35">
      <c r="A97" s="27"/>
      <c r="B97" s="28"/>
      <c r="C97" s="28"/>
      <c r="D97" s="28"/>
      <c r="E97" s="29"/>
      <c r="F97" s="20" t="str">
        <f t="shared" si="3"/>
        <v/>
      </c>
      <c r="G97" s="23" t="str">
        <f t="shared" si="4"/>
        <v/>
      </c>
    </row>
    <row r="98" spans="1:7" ht="21" x14ac:dyDescent="0.35">
      <c r="A98" s="27"/>
      <c r="B98" s="28"/>
      <c r="C98" s="28"/>
      <c r="D98" s="28"/>
      <c r="E98" s="29"/>
      <c r="F98" s="20" t="str">
        <f t="shared" ref="F98:F129" si="5">IF(A98="","",TEXT(A98,"mmmm yyyy"))</f>
        <v/>
      </c>
      <c r="G98" s="23" t="str">
        <f t="shared" si="4"/>
        <v/>
      </c>
    </row>
    <row r="99" spans="1:7" ht="21" x14ac:dyDescent="0.35">
      <c r="A99" s="27"/>
      <c r="B99" s="28"/>
      <c r="C99" s="28"/>
      <c r="D99" s="28"/>
      <c r="E99" s="29"/>
      <c r="F99" s="20" t="str">
        <f t="shared" si="5"/>
        <v/>
      </c>
      <c r="G99" s="23" t="str">
        <f t="shared" si="4"/>
        <v/>
      </c>
    </row>
    <row r="100" spans="1:7" ht="21" x14ac:dyDescent="0.35">
      <c r="A100" s="27"/>
      <c r="B100" s="28"/>
      <c r="C100" s="28"/>
      <c r="D100" s="28"/>
      <c r="E100" s="29"/>
      <c r="F100" s="20" t="str">
        <f t="shared" si="5"/>
        <v/>
      </c>
      <c r="G100" s="23" t="str">
        <f t="shared" si="4"/>
        <v/>
      </c>
    </row>
    <row r="101" spans="1:7" ht="21" x14ac:dyDescent="0.35">
      <c r="A101" s="27"/>
      <c r="B101" s="28"/>
      <c r="C101" s="28"/>
      <c r="D101" s="28"/>
      <c r="E101" s="29"/>
      <c r="F101" s="20" t="str">
        <f t="shared" si="5"/>
        <v/>
      </c>
      <c r="G101" s="23" t="str">
        <f t="shared" si="4"/>
        <v/>
      </c>
    </row>
    <row r="102" spans="1:7" ht="21" x14ac:dyDescent="0.35">
      <c r="A102" s="27"/>
      <c r="B102" s="28"/>
      <c r="C102" s="28"/>
      <c r="D102" s="28"/>
      <c r="E102" s="29"/>
      <c r="F102" s="20" t="str">
        <f t="shared" si="5"/>
        <v/>
      </c>
      <c r="G102" s="23" t="str">
        <f t="shared" si="4"/>
        <v/>
      </c>
    </row>
    <row r="103" spans="1:7" ht="21" x14ac:dyDescent="0.35">
      <c r="A103" s="27"/>
      <c r="B103" s="28"/>
      <c r="C103" s="28"/>
      <c r="D103" s="28"/>
      <c r="E103" s="29"/>
      <c r="F103" s="20" t="str">
        <f t="shared" si="5"/>
        <v/>
      </c>
      <c r="G103" s="23" t="str">
        <f t="shared" si="4"/>
        <v/>
      </c>
    </row>
    <row r="104" spans="1:7" ht="21" x14ac:dyDescent="0.35">
      <c r="A104" s="27"/>
      <c r="B104" s="28"/>
      <c r="C104" s="28"/>
      <c r="D104" s="28"/>
      <c r="E104" s="29"/>
      <c r="F104" s="20" t="str">
        <f t="shared" si="5"/>
        <v/>
      </c>
      <c r="G104" s="23" t="str">
        <f t="shared" si="4"/>
        <v/>
      </c>
    </row>
    <row r="105" spans="1:7" ht="21" x14ac:dyDescent="0.35">
      <c r="A105" s="27"/>
      <c r="B105" s="28"/>
      <c r="C105" s="28"/>
      <c r="D105" s="28"/>
      <c r="E105" s="29"/>
      <c r="F105" s="20" t="str">
        <f t="shared" si="5"/>
        <v/>
      </c>
      <c r="G105" s="23" t="str">
        <f t="shared" si="4"/>
        <v/>
      </c>
    </row>
    <row r="106" spans="1:7" ht="21" x14ac:dyDescent="0.35">
      <c r="A106" s="27"/>
      <c r="B106" s="28"/>
      <c r="C106" s="28"/>
      <c r="D106" s="28"/>
      <c r="E106" s="29"/>
      <c r="F106" s="20" t="str">
        <f t="shared" si="5"/>
        <v/>
      </c>
      <c r="G106" s="23" t="str">
        <f t="shared" si="4"/>
        <v/>
      </c>
    </row>
    <row r="107" spans="1:7" ht="21" x14ac:dyDescent="0.35">
      <c r="A107" s="27"/>
      <c r="B107" s="28"/>
      <c r="C107" s="28"/>
      <c r="D107" s="28"/>
      <c r="E107" s="29"/>
      <c r="F107" s="20" t="str">
        <f t="shared" si="5"/>
        <v/>
      </c>
      <c r="G107" s="23" t="str">
        <f t="shared" si="4"/>
        <v/>
      </c>
    </row>
    <row r="108" spans="1:7" ht="21" x14ac:dyDescent="0.35">
      <c r="A108" s="27"/>
      <c r="B108" s="28"/>
      <c r="C108" s="28"/>
      <c r="D108" s="28"/>
      <c r="E108" s="29"/>
      <c r="F108" s="20" t="str">
        <f t="shared" si="5"/>
        <v/>
      </c>
      <c r="G108" s="23" t="str">
        <f t="shared" si="4"/>
        <v/>
      </c>
    </row>
    <row r="109" spans="1:7" ht="21" x14ac:dyDescent="0.35">
      <c r="A109" s="27"/>
      <c r="B109" s="28"/>
      <c r="C109" s="28"/>
      <c r="D109" s="28"/>
      <c r="E109" s="29"/>
      <c r="F109" s="20" t="str">
        <f t="shared" si="5"/>
        <v/>
      </c>
      <c r="G109" s="23" t="str">
        <f t="shared" si="4"/>
        <v/>
      </c>
    </row>
    <row r="110" spans="1:7" ht="21" x14ac:dyDescent="0.35">
      <c r="A110" s="27"/>
      <c r="B110" s="28"/>
      <c r="C110" s="28"/>
      <c r="D110" s="28"/>
      <c r="E110" s="29"/>
      <c r="F110" s="20" t="str">
        <f t="shared" si="5"/>
        <v/>
      </c>
      <c r="G110" s="23" t="str">
        <f t="shared" si="4"/>
        <v/>
      </c>
    </row>
    <row r="111" spans="1:7" ht="21" x14ac:dyDescent="0.35">
      <c r="A111" s="27"/>
      <c r="B111" s="28"/>
      <c r="C111" s="28"/>
      <c r="D111" s="28"/>
      <c r="E111" s="29"/>
      <c r="F111" s="20" t="str">
        <f t="shared" si="5"/>
        <v/>
      </c>
      <c r="G111" s="23" t="str">
        <f t="shared" si="4"/>
        <v/>
      </c>
    </row>
    <row r="112" spans="1:7" ht="21" x14ac:dyDescent="0.35">
      <c r="A112" s="27"/>
      <c r="B112" s="28"/>
      <c r="C112" s="28"/>
      <c r="D112" s="28"/>
      <c r="E112" s="29"/>
      <c r="F112" s="20" t="str">
        <f t="shared" si="5"/>
        <v/>
      </c>
      <c r="G112" s="23" t="str">
        <f t="shared" si="4"/>
        <v/>
      </c>
    </row>
    <row r="113" spans="1:7" ht="21" x14ac:dyDescent="0.35">
      <c r="A113" s="27"/>
      <c r="B113" s="28"/>
      <c r="C113" s="28"/>
      <c r="D113" s="28"/>
      <c r="E113" s="29"/>
      <c r="F113" s="20" t="str">
        <f t="shared" si="5"/>
        <v/>
      </c>
      <c r="G113" s="23" t="str">
        <f t="shared" si="4"/>
        <v/>
      </c>
    </row>
    <row r="114" spans="1:7" ht="21" x14ac:dyDescent="0.35">
      <c r="A114" s="27"/>
      <c r="B114" s="28"/>
      <c r="C114" s="28"/>
      <c r="D114" s="28"/>
      <c r="E114" s="29"/>
      <c r="F114" s="20" t="str">
        <f t="shared" si="5"/>
        <v/>
      </c>
      <c r="G114" s="23" t="str">
        <f t="shared" si="4"/>
        <v/>
      </c>
    </row>
    <row r="115" spans="1:7" ht="21" x14ac:dyDescent="0.35">
      <c r="A115" s="27"/>
      <c r="B115" s="28"/>
      <c r="C115" s="28"/>
      <c r="D115" s="28"/>
      <c r="E115" s="29"/>
      <c r="F115" s="20" t="str">
        <f t="shared" si="5"/>
        <v/>
      </c>
      <c r="G115" s="23" t="str">
        <f t="shared" si="4"/>
        <v/>
      </c>
    </row>
    <row r="116" spans="1:7" ht="21" x14ac:dyDescent="0.35">
      <c r="A116" s="27"/>
      <c r="B116" s="28"/>
      <c r="C116" s="28"/>
      <c r="D116" s="28"/>
      <c r="E116" s="29"/>
      <c r="F116" s="20" t="str">
        <f t="shared" si="5"/>
        <v/>
      </c>
      <c r="G116" s="23" t="str">
        <f t="shared" si="4"/>
        <v/>
      </c>
    </row>
    <row r="117" spans="1:7" ht="21" x14ac:dyDescent="0.35">
      <c r="A117" s="27"/>
      <c r="B117" s="28"/>
      <c r="C117" s="28"/>
      <c r="D117" s="28"/>
      <c r="E117" s="29"/>
      <c r="F117" s="20" t="str">
        <f t="shared" si="5"/>
        <v/>
      </c>
      <c r="G117" s="23" t="str">
        <f t="shared" si="4"/>
        <v/>
      </c>
    </row>
    <row r="118" spans="1:7" ht="21" x14ac:dyDescent="0.35">
      <c r="A118" s="27"/>
      <c r="B118" s="28"/>
      <c r="C118" s="28"/>
      <c r="D118" s="28"/>
      <c r="E118" s="29"/>
      <c r="F118" s="20" t="str">
        <f t="shared" si="5"/>
        <v/>
      </c>
      <c r="G118" s="23" t="str">
        <f t="shared" si="4"/>
        <v/>
      </c>
    </row>
    <row r="119" spans="1:7" ht="21" x14ac:dyDescent="0.35">
      <c r="A119" s="27"/>
      <c r="B119" s="28"/>
      <c r="C119" s="28"/>
      <c r="D119" s="28"/>
      <c r="E119" s="29"/>
      <c r="F119" s="20" t="str">
        <f t="shared" si="5"/>
        <v/>
      </c>
      <c r="G119" s="23" t="str">
        <f t="shared" si="4"/>
        <v/>
      </c>
    </row>
    <row r="120" spans="1:7" ht="21" x14ac:dyDescent="0.35">
      <c r="A120" s="27"/>
      <c r="B120" s="28"/>
      <c r="C120" s="28"/>
      <c r="D120" s="28"/>
      <c r="E120" s="29"/>
      <c r="F120" s="20" t="str">
        <f t="shared" si="5"/>
        <v/>
      </c>
      <c r="G120" s="23" t="str">
        <f t="shared" si="4"/>
        <v/>
      </c>
    </row>
    <row r="121" spans="1:7" ht="21" x14ac:dyDescent="0.35">
      <c r="A121" s="27"/>
      <c r="B121" s="28"/>
      <c r="C121" s="28"/>
      <c r="D121" s="28"/>
      <c r="E121" s="29"/>
      <c r="F121" s="20" t="str">
        <f t="shared" si="5"/>
        <v/>
      </c>
      <c r="G121" s="23" t="str">
        <f t="shared" si="4"/>
        <v/>
      </c>
    </row>
    <row r="122" spans="1:7" ht="21" x14ac:dyDescent="0.35">
      <c r="A122" s="27"/>
      <c r="B122" s="28"/>
      <c r="C122" s="28"/>
      <c r="D122" s="28"/>
      <c r="E122" s="29"/>
      <c r="F122" s="20" t="str">
        <f t="shared" si="5"/>
        <v/>
      </c>
      <c r="G122" s="23" t="str">
        <f t="shared" si="4"/>
        <v/>
      </c>
    </row>
    <row r="123" spans="1:7" ht="21" x14ac:dyDescent="0.35">
      <c r="A123" s="27"/>
      <c r="B123" s="28"/>
      <c r="C123" s="28"/>
      <c r="D123" s="28"/>
      <c r="E123" s="29"/>
      <c r="F123" s="20" t="str">
        <f t="shared" si="5"/>
        <v/>
      </c>
      <c r="G123" s="23" t="str">
        <f t="shared" si="4"/>
        <v/>
      </c>
    </row>
    <row r="124" spans="1:7" ht="21" x14ac:dyDescent="0.35">
      <c r="A124" s="27"/>
      <c r="B124" s="28"/>
      <c r="C124" s="28"/>
      <c r="D124" s="28"/>
      <c r="E124" s="29"/>
      <c r="F124" s="20" t="str">
        <f t="shared" si="5"/>
        <v/>
      </c>
      <c r="G124" s="23" t="str">
        <f t="shared" si="4"/>
        <v/>
      </c>
    </row>
    <row r="125" spans="1:7" ht="21" x14ac:dyDescent="0.35">
      <c r="A125" s="27"/>
      <c r="B125" s="28"/>
      <c r="C125" s="28"/>
      <c r="D125" s="28"/>
      <c r="E125" s="29"/>
      <c r="F125" s="20" t="str">
        <f t="shared" si="5"/>
        <v/>
      </c>
      <c r="G125" s="23" t="str">
        <f t="shared" si="4"/>
        <v/>
      </c>
    </row>
    <row r="126" spans="1:7" ht="21" x14ac:dyDescent="0.35">
      <c r="A126" s="27"/>
      <c r="B126" s="28"/>
      <c r="C126" s="28"/>
      <c r="D126" s="28"/>
      <c r="E126" s="29"/>
      <c r="F126" s="20" t="str">
        <f t="shared" si="5"/>
        <v/>
      </c>
      <c r="G126" s="23" t="str">
        <f t="shared" si="4"/>
        <v/>
      </c>
    </row>
    <row r="127" spans="1:7" ht="21" x14ac:dyDescent="0.35">
      <c r="A127" s="27"/>
      <c r="B127" s="28"/>
      <c r="C127" s="28"/>
      <c r="D127" s="28"/>
      <c r="E127" s="29"/>
      <c r="F127" s="20" t="str">
        <f t="shared" si="5"/>
        <v/>
      </c>
      <c r="G127" s="23" t="str">
        <f t="shared" si="4"/>
        <v/>
      </c>
    </row>
    <row r="128" spans="1:7" ht="21" x14ac:dyDescent="0.35">
      <c r="A128" s="27"/>
      <c r="B128" s="28"/>
      <c r="C128" s="28"/>
      <c r="D128" s="28"/>
      <c r="E128" s="29"/>
      <c r="F128" s="20" t="str">
        <f t="shared" si="5"/>
        <v/>
      </c>
      <c r="G128" s="23" t="str">
        <f t="shared" si="4"/>
        <v/>
      </c>
    </row>
    <row r="129" spans="1:7" ht="21" x14ac:dyDescent="0.35">
      <c r="A129" s="27"/>
      <c r="B129" s="28"/>
      <c r="C129" s="28"/>
      <c r="D129" s="28"/>
      <c r="E129" s="29"/>
      <c r="F129" s="20" t="str">
        <f t="shared" si="5"/>
        <v/>
      </c>
      <c r="G129" s="23" t="str">
        <f t="shared" si="4"/>
        <v/>
      </c>
    </row>
    <row r="130" spans="1:7" ht="21" x14ac:dyDescent="0.35">
      <c r="A130" s="27"/>
      <c r="B130" s="28"/>
      <c r="C130" s="28"/>
      <c r="D130" s="28"/>
      <c r="E130" s="29"/>
      <c r="F130" s="20" t="str">
        <f t="shared" ref="F130:F161" si="6">IF(A130="","",TEXT(A130,"mmmm yyyy"))</f>
        <v/>
      </c>
      <c r="G130" s="23" t="str">
        <f t="shared" si="4"/>
        <v/>
      </c>
    </row>
    <row r="131" spans="1:7" ht="21" x14ac:dyDescent="0.35">
      <c r="A131" s="27"/>
      <c r="B131" s="28"/>
      <c r="C131" s="28"/>
      <c r="D131" s="28"/>
      <c r="E131" s="29"/>
      <c r="F131" s="20" t="str">
        <f t="shared" si="6"/>
        <v/>
      </c>
      <c r="G131" s="23" t="str">
        <f t="shared" si="4"/>
        <v/>
      </c>
    </row>
    <row r="132" spans="1:7" ht="21" x14ac:dyDescent="0.35">
      <c r="A132" s="27"/>
      <c r="B132" s="28"/>
      <c r="C132" s="28"/>
      <c r="D132" s="28"/>
      <c r="E132" s="29"/>
      <c r="F132" s="20" t="str">
        <f t="shared" si="6"/>
        <v/>
      </c>
      <c r="G132" s="23" t="str">
        <f t="shared" ref="G132:G195" si="7">IFERROR(IF(A132="","",IF(B132="Revenu",E132,-E132))+G131,"")</f>
        <v/>
      </c>
    </row>
    <row r="133" spans="1:7" ht="21" x14ac:dyDescent="0.35">
      <c r="A133" s="27"/>
      <c r="B133" s="28"/>
      <c r="C133" s="28"/>
      <c r="D133" s="28"/>
      <c r="E133" s="29"/>
      <c r="F133" s="20" t="str">
        <f t="shared" si="6"/>
        <v/>
      </c>
      <c r="G133" s="23" t="str">
        <f t="shared" si="7"/>
        <v/>
      </c>
    </row>
    <row r="134" spans="1:7" ht="21" x14ac:dyDescent="0.35">
      <c r="A134" s="27"/>
      <c r="B134" s="28"/>
      <c r="C134" s="28"/>
      <c r="D134" s="28"/>
      <c r="E134" s="29"/>
      <c r="F134" s="20" t="str">
        <f t="shared" si="6"/>
        <v/>
      </c>
      <c r="G134" s="23" t="str">
        <f t="shared" si="7"/>
        <v/>
      </c>
    </row>
    <row r="135" spans="1:7" ht="21" x14ac:dyDescent="0.35">
      <c r="A135" s="27"/>
      <c r="B135" s="28"/>
      <c r="C135" s="28"/>
      <c r="D135" s="28"/>
      <c r="E135" s="29"/>
      <c r="F135" s="20" t="str">
        <f t="shared" si="6"/>
        <v/>
      </c>
      <c r="G135" s="23" t="str">
        <f t="shared" si="7"/>
        <v/>
      </c>
    </row>
    <row r="136" spans="1:7" ht="21" x14ac:dyDescent="0.35">
      <c r="A136" s="27"/>
      <c r="B136" s="28"/>
      <c r="C136" s="28"/>
      <c r="D136" s="28"/>
      <c r="E136" s="29"/>
      <c r="F136" s="20" t="str">
        <f t="shared" si="6"/>
        <v/>
      </c>
      <c r="G136" s="23" t="str">
        <f t="shared" si="7"/>
        <v/>
      </c>
    </row>
    <row r="137" spans="1:7" ht="21" x14ac:dyDescent="0.35">
      <c r="A137" s="27"/>
      <c r="B137" s="28"/>
      <c r="C137" s="28"/>
      <c r="D137" s="28"/>
      <c r="E137" s="29"/>
      <c r="F137" s="20" t="str">
        <f t="shared" si="6"/>
        <v/>
      </c>
      <c r="G137" s="23" t="str">
        <f t="shared" si="7"/>
        <v/>
      </c>
    </row>
    <row r="138" spans="1:7" ht="21" x14ac:dyDescent="0.35">
      <c r="A138" s="27"/>
      <c r="B138" s="28"/>
      <c r="C138" s="28"/>
      <c r="D138" s="28"/>
      <c r="E138" s="29"/>
      <c r="F138" s="20" t="str">
        <f t="shared" si="6"/>
        <v/>
      </c>
      <c r="G138" s="23" t="str">
        <f t="shared" si="7"/>
        <v/>
      </c>
    </row>
    <row r="139" spans="1:7" ht="21" x14ac:dyDescent="0.35">
      <c r="A139" s="27"/>
      <c r="B139" s="28"/>
      <c r="C139" s="28"/>
      <c r="D139" s="28"/>
      <c r="E139" s="29"/>
      <c r="F139" s="20" t="str">
        <f t="shared" si="6"/>
        <v/>
      </c>
      <c r="G139" s="23" t="str">
        <f t="shared" si="7"/>
        <v/>
      </c>
    </row>
    <row r="140" spans="1:7" ht="21" x14ac:dyDescent="0.35">
      <c r="A140" s="27"/>
      <c r="B140" s="28"/>
      <c r="C140" s="28"/>
      <c r="D140" s="28"/>
      <c r="E140" s="29"/>
      <c r="F140" s="20" t="str">
        <f t="shared" si="6"/>
        <v/>
      </c>
      <c r="G140" s="23" t="str">
        <f t="shared" si="7"/>
        <v/>
      </c>
    </row>
    <row r="141" spans="1:7" ht="21" x14ac:dyDescent="0.35">
      <c r="A141" s="27"/>
      <c r="B141" s="28"/>
      <c r="C141" s="28"/>
      <c r="D141" s="28"/>
      <c r="E141" s="29"/>
      <c r="F141" s="20" t="str">
        <f t="shared" si="6"/>
        <v/>
      </c>
      <c r="G141" s="23" t="str">
        <f t="shared" si="7"/>
        <v/>
      </c>
    </row>
    <row r="142" spans="1:7" ht="21" x14ac:dyDescent="0.35">
      <c r="A142" s="27"/>
      <c r="B142" s="28"/>
      <c r="C142" s="28"/>
      <c r="D142" s="28"/>
      <c r="E142" s="29"/>
      <c r="F142" s="20" t="str">
        <f t="shared" si="6"/>
        <v/>
      </c>
      <c r="G142" s="23" t="str">
        <f t="shared" si="7"/>
        <v/>
      </c>
    </row>
    <row r="143" spans="1:7" ht="21" x14ac:dyDescent="0.35">
      <c r="A143" s="27"/>
      <c r="B143" s="28"/>
      <c r="C143" s="28"/>
      <c r="D143" s="28"/>
      <c r="E143" s="29"/>
      <c r="F143" s="20" t="str">
        <f t="shared" si="6"/>
        <v/>
      </c>
      <c r="G143" s="23" t="str">
        <f t="shared" si="7"/>
        <v/>
      </c>
    </row>
    <row r="144" spans="1:7" ht="21" x14ac:dyDescent="0.35">
      <c r="A144" s="27"/>
      <c r="B144" s="28"/>
      <c r="C144" s="28"/>
      <c r="D144" s="28"/>
      <c r="E144" s="29"/>
      <c r="F144" s="20" t="str">
        <f t="shared" si="6"/>
        <v/>
      </c>
      <c r="G144" s="23" t="str">
        <f t="shared" si="7"/>
        <v/>
      </c>
    </row>
    <row r="145" spans="1:7" ht="21" x14ac:dyDescent="0.35">
      <c r="A145" s="27"/>
      <c r="B145" s="28"/>
      <c r="C145" s="28"/>
      <c r="D145" s="28"/>
      <c r="E145" s="29"/>
      <c r="F145" s="20" t="str">
        <f t="shared" si="6"/>
        <v/>
      </c>
      <c r="G145" s="23" t="str">
        <f t="shared" si="7"/>
        <v/>
      </c>
    </row>
    <row r="146" spans="1:7" ht="21" x14ac:dyDescent="0.35">
      <c r="A146" s="27"/>
      <c r="B146" s="28"/>
      <c r="C146" s="28"/>
      <c r="D146" s="28"/>
      <c r="E146" s="29"/>
      <c r="F146" s="20" t="str">
        <f t="shared" si="6"/>
        <v/>
      </c>
      <c r="G146" s="23" t="str">
        <f t="shared" si="7"/>
        <v/>
      </c>
    </row>
    <row r="147" spans="1:7" ht="21" x14ac:dyDescent="0.35">
      <c r="A147" s="27"/>
      <c r="B147" s="28"/>
      <c r="C147" s="28"/>
      <c r="D147" s="28"/>
      <c r="E147" s="29"/>
      <c r="F147" s="20" t="str">
        <f t="shared" si="6"/>
        <v/>
      </c>
      <c r="G147" s="23" t="str">
        <f t="shared" si="7"/>
        <v/>
      </c>
    </row>
    <row r="148" spans="1:7" ht="21" x14ac:dyDescent="0.35">
      <c r="A148" s="27"/>
      <c r="B148" s="28"/>
      <c r="C148" s="28"/>
      <c r="D148" s="28"/>
      <c r="E148" s="29"/>
      <c r="F148" s="20" t="str">
        <f t="shared" si="6"/>
        <v/>
      </c>
      <c r="G148" s="23" t="str">
        <f t="shared" si="7"/>
        <v/>
      </c>
    </row>
    <row r="149" spans="1:7" ht="21" x14ac:dyDescent="0.35">
      <c r="A149" s="27"/>
      <c r="B149" s="28"/>
      <c r="C149" s="28"/>
      <c r="D149" s="28"/>
      <c r="E149" s="29"/>
      <c r="F149" s="20" t="str">
        <f t="shared" si="6"/>
        <v/>
      </c>
      <c r="G149" s="23" t="str">
        <f t="shared" si="7"/>
        <v/>
      </c>
    </row>
    <row r="150" spans="1:7" ht="21" x14ac:dyDescent="0.35">
      <c r="A150" s="27"/>
      <c r="B150" s="28"/>
      <c r="C150" s="28"/>
      <c r="D150" s="28"/>
      <c r="E150" s="29"/>
      <c r="F150" s="20" t="str">
        <f t="shared" si="6"/>
        <v/>
      </c>
      <c r="G150" s="23" t="str">
        <f t="shared" si="7"/>
        <v/>
      </c>
    </row>
    <row r="151" spans="1:7" ht="21" x14ac:dyDescent="0.35">
      <c r="A151" s="27"/>
      <c r="B151" s="28"/>
      <c r="C151" s="28"/>
      <c r="D151" s="28"/>
      <c r="E151" s="29"/>
      <c r="F151" s="20" t="str">
        <f t="shared" si="6"/>
        <v/>
      </c>
      <c r="G151" s="23" t="str">
        <f t="shared" si="7"/>
        <v/>
      </c>
    </row>
    <row r="152" spans="1:7" ht="21" x14ac:dyDescent="0.35">
      <c r="A152" s="27"/>
      <c r="B152" s="28"/>
      <c r="C152" s="28"/>
      <c r="D152" s="28"/>
      <c r="E152" s="29"/>
      <c r="F152" s="20" t="str">
        <f t="shared" si="6"/>
        <v/>
      </c>
      <c r="G152" s="23" t="str">
        <f t="shared" si="7"/>
        <v/>
      </c>
    </row>
    <row r="153" spans="1:7" ht="21" x14ac:dyDescent="0.35">
      <c r="A153" s="27"/>
      <c r="B153" s="28"/>
      <c r="C153" s="28"/>
      <c r="D153" s="28"/>
      <c r="E153" s="29"/>
      <c r="F153" s="20" t="str">
        <f t="shared" si="6"/>
        <v/>
      </c>
      <c r="G153" s="23" t="str">
        <f t="shared" si="7"/>
        <v/>
      </c>
    </row>
    <row r="154" spans="1:7" ht="21" x14ac:dyDescent="0.35">
      <c r="A154" s="27"/>
      <c r="B154" s="28"/>
      <c r="C154" s="28"/>
      <c r="D154" s="28"/>
      <c r="E154" s="29"/>
      <c r="F154" s="20" t="str">
        <f t="shared" si="6"/>
        <v/>
      </c>
      <c r="G154" s="23" t="str">
        <f t="shared" si="7"/>
        <v/>
      </c>
    </row>
    <row r="155" spans="1:7" ht="21" x14ac:dyDescent="0.35">
      <c r="A155" s="27"/>
      <c r="B155" s="28"/>
      <c r="C155" s="28"/>
      <c r="D155" s="28"/>
      <c r="E155" s="29"/>
      <c r="F155" s="20" t="str">
        <f t="shared" si="6"/>
        <v/>
      </c>
      <c r="G155" s="23" t="str">
        <f t="shared" si="7"/>
        <v/>
      </c>
    </row>
    <row r="156" spans="1:7" ht="21" x14ac:dyDescent="0.35">
      <c r="A156" s="27"/>
      <c r="B156" s="28"/>
      <c r="C156" s="28"/>
      <c r="D156" s="28"/>
      <c r="E156" s="29"/>
      <c r="F156" s="20" t="str">
        <f t="shared" si="6"/>
        <v/>
      </c>
      <c r="G156" s="23" t="str">
        <f t="shared" si="7"/>
        <v/>
      </c>
    </row>
    <row r="157" spans="1:7" ht="21" x14ac:dyDescent="0.35">
      <c r="A157" s="27"/>
      <c r="B157" s="28"/>
      <c r="C157" s="28"/>
      <c r="D157" s="28"/>
      <c r="E157" s="29"/>
      <c r="F157" s="20" t="str">
        <f t="shared" si="6"/>
        <v/>
      </c>
      <c r="G157" s="23" t="str">
        <f t="shared" si="7"/>
        <v/>
      </c>
    </row>
    <row r="158" spans="1:7" ht="21" x14ac:dyDescent="0.35">
      <c r="A158" s="27"/>
      <c r="B158" s="28"/>
      <c r="C158" s="28"/>
      <c r="D158" s="28"/>
      <c r="E158" s="29"/>
      <c r="F158" s="20" t="str">
        <f t="shared" si="6"/>
        <v/>
      </c>
      <c r="G158" s="23" t="str">
        <f t="shared" si="7"/>
        <v/>
      </c>
    </row>
    <row r="159" spans="1:7" ht="21" x14ac:dyDescent="0.35">
      <c r="A159" s="27"/>
      <c r="B159" s="28"/>
      <c r="C159" s="28"/>
      <c r="D159" s="28"/>
      <c r="E159" s="29"/>
      <c r="F159" s="20" t="str">
        <f t="shared" si="6"/>
        <v/>
      </c>
      <c r="G159" s="23" t="str">
        <f t="shared" si="7"/>
        <v/>
      </c>
    </row>
    <row r="160" spans="1:7" ht="21" x14ac:dyDescent="0.35">
      <c r="A160" s="27"/>
      <c r="B160" s="28"/>
      <c r="C160" s="28"/>
      <c r="D160" s="28"/>
      <c r="E160" s="29"/>
      <c r="F160" s="20" t="str">
        <f t="shared" si="6"/>
        <v/>
      </c>
      <c r="G160" s="23" t="str">
        <f t="shared" si="7"/>
        <v/>
      </c>
    </row>
    <row r="161" spans="1:7" ht="21" x14ac:dyDescent="0.35">
      <c r="A161" s="27"/>
      <c r="B161" s="28"/>
      <c r="C161" s="28"/>
      <c r="D161" s="28"/>
      <c r="E161" s="29"/>
      <c r="F161" s="20" t="str">
        <f t="shared" si="6"/>
        <v/>
      </c>
      <c r="G161" s="23" t="str">
        <f t="shared" si="7"/>
        <v/>
      </c>
    </row>
    <row r="162" spans="1:7" ht="21" x14ac:dyDescent="0.35">
      <c r="A162" s="27"/>
      <c r="B162" s="28"/>
      <c r="C162" s="28"/>
      <c r="D162" s="28"/>
      <c r="E162" s="29"/>
      <c r="F162" s="20" t="str">
        <f t="shared" ref="F162:F193" si="8">IF(A162="","",TEXT(A162,"mmmm yyyy"))</f>
        <v/>
      </c>
      <c r="G162" s="23" t="str">
        <f t="shared" si="7"/>
        <v/>
      </c>
    </row>
    <row r="163" spans="1:7" ht="21" x14ac:dyDescent="0.35">
      <c r="A163" s="27"/>
      <c r="B163" s="28"/>
      <c r="C163" s="28"/>
      <c r="D163" s="28"/>
      <c r="E163" s="29"/>
      <c r="F163" s="20" t="str">
        <f t="shared" si="8"/>
        <v/>
      </c>
      <c r="G163" s="23" t="str">
        <f t="shared" si="7"/>
        <v/>
      </c>
    </row>
    <row r="164" spans="1:7" ht="21" x14ac:dyDescent="0.35">
      <c r="A164" s="27"/>
      <c r="B164" s="28"/>
      <c r="C164" s="28"/>
      <c r="D164" s="28"/>
      <c r="E164" s="29"/>
      <c r="F164" s="20" t="str">
        <f t="shared" si="8"/>
        <v/>
      </c>
      <c r="G164" s="23" t="str">
        <f t="shared" si="7"/>
        <v/>
      </c>
    </row>
    <row r="165" spans="1:7" ht="21" x14ac:dyDescent="0.35">
      <c r="A165" s="27"/>
      <c r="B165" s="28"/>
      <c r="C165" s="28"/>
      <c r="D165" s="28"/>
      <c r="E165" s="29"/>
      <c r="F165" s="20" t="str">
        <f t="shared" si="8"/>
        <v/>
      </c>
      <c r="G165" s="23" t="str">
        <f t="shared" si="7"/>
        <v/>
      </c>
    </row>
    <row r="166" spans="1:7" ht="21" x14ac:dyDescent="0.35">
      <c r="A166" s="27"/>
      <c r="B166" s="28"/>
      <c r="C166" s="28"/>
      <c r="D166" s="28"/>
      <c r="E166" s="29"/>
      <c r="F166" s="20" t="str">
        <f t="shared" si="8"/>
        <v/>
      </c>
      <c r="G166" s="23" t="str">
        <f t="shared" si="7"/>
        <v/>
      </c>
    </row>
    <row r="167" spans="1:7" ht="21" x14ac:dyDescent="0.35">
      <c r="A167" s="27"/>
      <c r="B167" s="28"/>
      <c r="C167" s="28"/>
      <c r="D167" s="28"/>
      <c r="E167" s="29"/>
      <c r="F167" s="20" t="str">
        <f t="shared" si="8"/>
        <v/>
      </c>
      <c r="G167" s="23" t="str">
        <f t="shared" si="7"/>
        <v/>
      </c>
    </row>
    <row r="168" spans="1:7" ht="21" x14ac:dyDescent="0.35">
      <c r="A168" s="27"/>
      <c r="B168" s="28"/>
      <c r="C168" s="28"/>
      <c r="D168" s="28"/>
      <c r="E168" s="29"/>
      <c r="F168" s="20" t="str">
        <f t="shared" si="8"/>
        <v/>
      </c>
      <c r="G168" s="23" t="str">
        <f t="shared" si="7"/>
        <v/>
      </c>
    </row>
    <row r="169" spans="1:7" ht="21" x14ac:dyDescent="0.35">
      <c r="A169" s="27"/>
      <c r="B169" s="28"/>
      <c r="C169" s="28"/>
      <c r="D169" s="28"/>
      <c r="E169" s="29"/>
      <c r="F169" s="20" t="str">
        <f t="shared" si="8"/>
        <v/>
      </c>
      <c r="G169" s="23" t="str">
        <f t="shared" si="7"/>
        <v/>
      </c>
    </row>
    <row r="170" spans="1:7" ht="21" x14ac:dyDescent="0.35">
      <c r="A170" s="27"/>
      <c r="B170" s="28"/>
      <c r="C170" s="28"/>
      <c r="D170" s="28"/>
      <c r="E170" s="29"/>
      <c r="F170" s="20" t="str">
        <f t="shared" si="8"/>
        <v/>
      </c>
      <c r="G170" s="23" t="str">
        <f t="shared" si="7"/>
        <v/>
      </c>
    </row>
    <row r="171" spans="1:7" ht="21" x14ac:dyDescent="0.35">
      <c r="A171" s="27"/>
      <c r="B171" s="28"/>
      <c r="C171" s="28"/>
      <c r="D171" s="28"/>
      <c r="E171" s="29"/>
      <c r="F171" s="20" t="str">
        <f t="shared" si="8"/>
        <v/>
      </c>
      <c r="G171" s="23" t="str">
        <f t="shared" si="7"/>
        <v/>
      </c>
    </row>
    <row r="172" spans="1:7" ht="21" x14ac:dyDescent="0.35">
      <c r="A172" s="27"/>
      <c r="B172" s="28"/>
      <c r="C172" s="28"/>
      <c r="D172" s="28"/>
      <c r="E172" s="29"/>
      <c r="F172" s="20" t="str">
        <f t="shared" si="8"/>
        <v/>
      </c>
      <c r="G172" s="23" t="str">
        <f t="shared" si="7"/>
        <v/>
      </c>
    </row>
    <row r="173" spans="1:7" ht="21" x14ac:dyDescent="0.35">
      <c r="A173" s="27"/>
      <c r="B173" s="28"/>
      <c r="C173" s="28"/>
      <c r="D173" s="28"/>
      <c r="E173" s="29"/>
      <c r="F173" s="20" t="str">
        <f t="shared" si="8"/>
        <v/>
      </c>
      <c r="G173" s="23" t="str">
        <f t="shared" si="7"/>
        <v/>
      </c>
    </row>
    <row r="174" spans="1:7" ht="21" x14ac:dyDescent="0.35">
      <c r="A174" s="27"/>
      <c r="B174" s="28"/>
      <c r="C174" s="28"/>
      <c r="D174" s="28"/>
      <c r="E174" s="29"/>
      <c r="F174" s="20" t="str">
        <f t="shared" si="8"/>
        <v/>
      </c>
      <c r="G174" s="23" t="str">
        <f t="shared" si="7"/>
        <v/>
      </c>
    </row>
    <row r="175" spans="1:7" ht="21" x14ac:dyDescent="0.35">
      <c r="A175" s="27"/>
      <c r="B175" s="28"/>
      <c r="C175" s="28"/>
      <c r="D175" s="28"/>
      <c r="E175" s="29"/>
      <c r="F175" s="20" t="str">
        <f t="shared" si="8"/>
        <v/>
      </c>
      <c r="G175" s="23" t="str">
        <f t="shared" si="7"/>
        <v/>
      </c>
    </row>
    <row r="176" spans="1:7" ht="21" x14ac:dyDescent="0.35">
      <c r="A176" s="27"/>
      <c r="B176" s="28"/>
      <c r="C176" s="28"/>
      <c r="D176" s="28"/>
      <c r="E176" s="29"/>
      <c r="F176" s="20" t="str">
        <f t="shared" si="8"/>
        <v/>
      </c>
      <c r="G176" s="23" t="str">
        <f t="shared" si="7"/>
        <v/>
      </c>
    </row>
    <row r="177" spans="1:7" ht="21" x14ac:dyDescent="0.35">
      <c r="A177" s="27"/>
      <c r="B177" s="28"/>
      <c r="C177" s="28"/>
      <c r="D177" s="28"/>
      <c r="E177" s="29"/>
      <c r="F177" s="20" t="str">
        <f t="shared" si="8"/>
        <v/>
      </c>
      <c r="G177" s="23" t="str">
        <f t="shared" si="7"/>
        <v/>
      </c>
    </row>
    <row r="178" spans="1:7" ht="21" x14ac:dyDescent="0.35">
      <c r="A178" s="27"/>
      <c r="B178" s="28"/>
      <c r="C178" s="28"/>
      <c r="D178" s="28"/>
      <c r="E178" s="29"/>
      <c r="F178" s="20" t="str">
        <f t="shared" si="8"/>
        <v/>
      </c>
      <c r="G178" s="23" t="str">
        <f t="shared" si="7"/>
        <v/>
      </c>
    </row>
    <row r="179" spans="1:7" ht="21" x14ac:dyDescent="0.35">
      <c r="A179" s="27"/>
      <c r="B179" s="28"/>
      <c r="C179" s="28"/>
      <c r="D179" s="28"/>
      <c r="E179" s="29"/>
      <c r="F179" s="20" t="str">
        <f t="shared" si="8"/>
        <v/>
      </c>
      <c r="G179" s="23" t="str">
        <f t="shared" si="7"/>
        <v/>
      </c>
    </row>
    <row r="180" spans="1:7" ht="21" x14ac:dyDescent="0.35">
      <c r="A180" s="27"/>
      <c r="B180" s="28"/>
      <c r="C180" s="28"/>
      <c r="D180" s="30"/>
      <c r="E180" s="29"/>
      <c r="F180" s="20" t="str">
        <f t="shared" si="8"/>
        <v/>
      </c>
      <c r="G180" s="23" t="str">
        <f t="shared" si="7"/>
        <v/>
      </c>
    </row>
    <row r="181" spans="1:7" ht="21" x14ac:dyDescent="0.35">
      <c r="A181" s="27"/>
      <c r="B181" s="28"/>
      <c r="C181" s="28"/>
      <c r="D181" s="28"/>
      <c r="E181" s="29"/>
      <c r="F181" s="20" t="str">
        <f t="shared" si="8"/>
        <v/>
      </c>
      <c r="G181" s="23" t="str">
        <f t="shared" si="7"/>
        <v/>
      </c>
    </row>
    <row r="182" spans="1:7" ht="21" x14ac:dyDescent="0.35">
      <c r="A182" s="27"/>
      <c r="B182" s="28"/>
      <c r="C182" s="28"/>
      <c r="D182" s="28"/>
      <c r="E182" s="29"/>
      <c r="F182" s="20" t="str">
        <f t="shared" si="8"/>
        <v/>
      </c>
      <c r="G182" s="23" t="str">
        <f t="shared" si="7"/>
        <v/>
      </c>
    </row>
    <row r="183" spans="1:7" ht="21" x14ac:dyDescent="0.35">
      <c r="A183" s="27"/>
      <c r="B183" s="28"/>
      <c r="C183" s="28"/>
      <c r="D183" s="28"/>
      <c r="E183" s="29"/>
      <c r="F183" s="20" t="str">
        <f t="shared" si="8"/>
        <v/>
      </c>
      <c r="G183" s="23" t="str">
        <f t="shared" si="7"/>
        <v/>
      </c>
    </row>
    <row r="184" spans="1:7" ht="21" x14ac:dyDescent="0.35">
      <c r="A184" s="27"/>
      <c r="B184" s="28"/>
      <c r="C184" s="28"/>
      <c r="D184" s="28"/>
      <c r="E184" s="29"/>
      <c r="F184" s="20" t="str">
        <f t="shared" si="8"/>
        <v/>
      </c>
      <c r="G184" s="23" t="str">
        <f t="shared" si="7"/>
        <v/>
      </c>
    </row>
    <row r="185" spans="1:7" ht="21" x14ac:dyDescent="0.35">
      <c r="A185" s="27"/>
      <c r="B185" s="28"/>
      <c r="C185" s="28"/>
      <c r="D185" s="28"/>
      <c r="E185" s="29"/>
      <c r="F185" s="20" t="str">
        <f t="shared" si="8"/>
        <v/>
      </c>
      <c r="G185" s="23" t="str">
        <f t="shared" si="7"/>
        <v/>
      </c>
    </row>
    <row r="186" spans="1:7" ht="21" x14ac:dyDescent="0.35">
      <c r="A186" s="27"/>
      <c r="B186" s="28"/>
      <c r="C186" s="28"/>
      <c r="D186" s="28"/>
      <c r="E186" s="29"/>
      <c r="F186" s="20" t="str">
        <f t="shared" si="8"/>
        <v/>
      </c>
      <c r="G186" s="23" t="str">
        <f t="shared" si="7"/>
        <v/>
      </c>
    </row>
    <row r="187" spans="1:7" ht="21" x14ac:dyDescent="0.35">
      <c r="A187" s="27"/>
      <c r="B187" s="28"/>
      <c r="C187" s="28"/>
      <c r="D187" s="28"/>
      <c r="E187" s="29"/>
      <c r="F187" s="20" t="str">
        <f t="shared" si="8"/>
        <v/>
      </c>
      <c r="G187" s="23" t="str">
        <f t="shared" si="7"/>
        <v/>
      </c>
    </row>
    <row r="188" spans="1:7" ht="21" x14ac:dyDescent="0.35">
      <c r="A188" s="27"/>
      <c r="B188" s="28"/>
      <c r="C188" s="28"/>
      <c r="D188" s="28"/>
      <c r="E188" s="29"/>
      <c r="F188" s="20" t="str">
        <f t="shared" si="8"/>
        <v/>
      </c>
      <c r="G188" s="23" t="str">
        <f t="shared" si="7"/>
        <v/>
      </c>
    </row>
    <row r="189" spans="1:7" ht="21" x14ac:dyDescent="0.35">
      <c r="A189" s="27"/>
      <c r="B189" s="28"/>
      <c r="C189" s="28"/>
      <c r="D189" s="28"/>
      <c r="E189" s="29"/>
      <c r="F189" s="20" t="str">
        <f t="shared" si="8"/>
        <v/>
      </c>
      <c r="G189" s="23" t="str">
        <f t="shared" si="7"/>
        <v/>
      </c>
    </row>
    <row r="190" spans="1:7" ht="21" x14ac:dyDescent="0.35">
      <c r="A190" s="27"/>
      <c r="B190" s="28"/>
      <c r="C190" s="28"/>
      <c r="D190" s="28"/>
      <c r="E190" s="29"/>
      <c r="F190" s="20" t="str">
        <f t="shared" si="8"/>
        <v/>
      </c>
      <c r="G190" s="23" t="str">
        <f t="shared" si="7"/>
        <v/>
      </c>
    </row>
    <row r="191" spans="1:7" ht="21" x14ac:dyDescent="0.35">
      <c r="A191" s="27"/>
      <c r="B191" s="28"/>
      <c r="C191" s="28"/>
      <c r="D191" s="28"/>
      <c r="E191" s="29"/>
      <c r="F191" s="20" t="str">
        <f t="shared" si="8"/>
        <v/>
      </c>
      <c r="G191" s="23" t="str">
        <f t="shared" si="7"/>
        <v/>
      </c>
    </row>
    <row r="192" spans="1:7" ht="21" x14ac:dyDescent="0.35">
      <c r="A192" s="27"/>
      <c r="B192" s="28"/>
      <c r="C192" s="28"/>
      <c r="D192" s="28"/>
      <c r="E192" s="29"/>
      <c r="F192" s="20" t="str">
        <f t="shared" si="8"/>
        <v/>
      </c>
      <c r="G192" s="23" t="str">
        <f t="shared" si="7"/>
        <v/>
      </c>
    </row>
    <row r="193" spans="1:7" ht="21" x14ac:dyDescent="0.35">
      <c r="A193" s="27"/>
      <c r="B193" s="28"/>
      <c r="C193" s="28"/>
      <c r="D193" s="28"/>
      <c r="E193" s="29"/>
      <c r="F193" s="20" t="str">
        <f t="shared" si="8"/>
        <v/>
      </c>
      <c r="G193" s="23" t="str">
        <f t="shared" si="7"/>
        <v/>
      </c>
    </row>
    <row r="194" spans="1:7" ht="21" x14ac:dyDescent="0.35">
      <c r="A194" s="27"/>
      <c r="B194" s="28"/>
      <c r="C194" s="28"/>
      <c r="D194" s="28"/>
      <c r="E194" s="29"/>
      <c r="F194" s="20" t="str">
        <f t="shared" ref="F194:F200" si="9">IF(A194="","",TEXT(A194,"mmmm yyyy"))</f>
        <v/>
      </c>
      <c r="G194" s="23" t="str">
        <f t="shared" si="7"/>
        <v/>
      </c>
    </row>
    <row r="195" spans="1:7" ht="21" x14ac:dyDescent="0.35">
      <c r="A195" s="27"/>
      <c r="B195" s="28"/>
      <c r="C195" s="28"/>
      <c r="D195" s="28"/>
      <c r="E195" s="29"/>
      <c r="F195" s="20" t="str">
        <f t="shared" si="9"/>
        <v/>
      </c>
      <c r="G195" s="23" t="str">
        <f t="shared" si="7"/>
        <v/>
      </c>
    </row>
    <row r="196" spans="1:7" ht="21" x14ac:dyDescent="0.35">
      <c r="A196" s="27"/>
      <c r="B196" s="28"/>
      <c r="C196" s="28"/>
      <c r="D196" s="28"/>
      <c r="E196" s="29"/>
      <c r="F196" s="20" t="str">
        <f t="shared" si="9"/>
        <v/>
      </c>
      <c r="G196" s="23" t="str">
        <f t="shared" ref="G196:G200" si="10">IFERROR(IF(A196="","",IF(B196="Revenu",E196,-E196))+G195,"")</f>
        <v/>
      </c>
    </row>
    <row r="197" spans="1:7" ht="21" x14ac:dyDescent="0.35">
      <c r="A197" s="27"/>
      <c r="B197" s="28"/>
      <c r="C197" s="28"/>
      <c r="D197" s="28"/>
      <c r="E197" s="29"/>
      <c r="F197" s="20" t="str">
        <f t="shared" si="9"/>
        <v/>
      </c>
      <c r="G197" s="23" t="str">
        <f t="shared" si="10"/>
        <v/>
      </c>
    </row>
    <row r="198" spans="1:7" ht="21" x14ac:dyDescent="0.35">
      <c r="A198" s="27"/>
      <c r="B198" s="28"/>
      <c r="C198" s="28"/>
      <c r="D198" s="28"/>
      <c r="E198" s="29"/>
      <c r="F198" s="20" t="str">
        <f t="shared" si="9"/>
        <v/>
      </c>
      <c r="G198" s="23" t="str">
        <f t="shared" si="10"/>
        <v/>
      </c>
    </row>
    <row r="199" spans="1:7" ht="21" x14ac:dyDescent="0.35">
      <c r="A199" s="27"/>
      <c r="B199" s="28"/>
      <c r="C199" s="28"/>
      <c r="D199" s="28"/>
      <c r="E199" s="29"/>
      <c r="F199" s="20" t="str">
        <f t="shared" si="9"/>
        <v/>
      </c>
      <c r="G199" s="23" t="str">
        <f t="shared" si="10"/>
        <v/>
      </c>
    </row>
    <row r="200" spans="1:7" ht="21" x14ac:dyDescent="0.35">
      <c r="A200" s="31"/>
      <c r="B200" s="32"/>
      <c r="C200" s="32"/>
      <c r="D200" s="32"/>
      <c r="E200" s="33"/>
      <c r="F200" s="21" t="str">
        <f t="shared" si="9"/>
        <v/>
      </c>
      <c r="G200" s="23" t="str">
        <f t="shared" si="10"/>
        <v/>
      </c>
    </row>
  </sheetData>
  <sheetProtection selectLockedCells="1"/>
  <conditionalFormatting sqref="B2:B200">
    <cfRule type="containsText" dxfId="1" priority="1" operator="containsText" text="Dépense">
      <formula>NOT(ISERROR(SEARCH("Dépense",B2)))</formula>
    </cfRule>
    <cfRule type="containsText" dxfId="0" priority="2" operator="containsText" text="Revenu">
      <formula>NOT(ISERROR(SEARCH("Revenu",B2)))</formula>
    </cfRule>
  </conditionalFormatting>
  <dataValidations count="1">
    <dataValidation type="list" allowBlank="1" showInputMessage="1" showErrorMessage="1" sqref="B2:B200" xr:uid="{FFC37BD5-A817-48C1-939E-C8727FAFD7F2}">
      <formula1>"Revenu,Dépense"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6231B7-6A47-48FD-BB46-15BD63ED9873}">
          <x14:formula1>
            <xm:f>IF(B2="Revenu",CATEGORIE!$A$2:$A$8,CATEGORIE!$B$2:$B$16)</xm:f>
          </x14:formula1>
          <xm:sqref>C2:C200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BF10-5623-42A9-BB02-F8E3B496CCAB}">
  <dimension ref="A2:F14"/>
  <sheetViews>
    <sheetView workbookViewId="0">
      <selection activeCell="B3" sqref="B3"/>
    </sheetView>
  </sheetViews>
  <sheetFormatPr defaultColWidth="11.42578125" defaultRowHeight="15" x14ac:dyDescent="0.25"/>
  <cols>
    <col min="1" max="1" width="21.42578125" customWidth="1"/>
    <col min="2" max="2" width="25.140625" customWidth="1"/>
    <col min="3" max="3" width="28.42578125" customWidth="1"/>
    <col min="4" max="4" width="19.5703125" customWidth="1"/>
    <col min="5" max="5" width="21.140625" customWidth="1"/>
    <col min="6" max="6" width="19.28515625" customWidth="1"/>
  </cols>
  <sheetData>
    <row r="2" spans="1:6" ht="26.25" x14ac:dyDescent="0.4">
      <c r="A2" s="6" t="s">
        <v>33</v>
      </c>
      <c r="B2" s="6" t="s">
        <v>44</v>
      </c>
      <c r="C2" s="6" t="s">
        <v>45</v>
      </c>
      <c r="D2" s="6" t="s">
        <v>46</v>
      </c>
      <c r="E2" s="6" t="s">
        <v>47</v>
      </c>
      <c r="F2" s="6" t="s">
        <v>48</v>
      </c>
    </row>
    <row r="3" spans="1:6" ht="21" x14ac:dyDescent="0.35">
      <c r="A3" s="7" t="s">
        <v>34</v>
      </c>
      <c r="B3" s="34">
        <v>1000000</v>
      </c>
      <c r="C3" s="12">
        <f>SUMIFS(BUDGET_MENSUEL!$E$2:$E$200,BUDGET_MENSUEL!$C$2:$C$200,A3,BUDGET_MENSUEL!$B$2:$B$200,"Dépense")</f>
        <v>1000000</v>
      </c>
      <c r="D3" s="13">
        <f>B3-C3</f>
        <v>0</v>
      </c>
      <c r="E3" s="14">
        <f>IFERROR(C3/B3,0)</f>
        <v>1</v>
      </c>
      <c r="F3" s="12" t="str">
        <f>IF(B3=0,"À définir",IF(C3&lt;=B3,"OK","DÉPASSÉ"))</f>
        <v>OK</v>
      </c>
    </row>
    <row r="4" spans="1:6" ht="21" x14ac:dyDescent="0.35">
      <c r="A4" s="7" t="s">
        <v>35</v>
      </c>
      <c r="B4" s="34">
        <v>500000</v>
      </c>
      <c r="C4" s="12">
        <f>SUMIFS(BUDGET_MENSUEL!$E$2:$E$200,BUDGET_MENSUEL!$C$2:$C$200,A4,BUDGET_MENSUEL!$B$2:$B$200,"Dépense")</f>
        <v>0</v>
      </c>
      <c r="D4" s="13">
        <f t="shared" ref="D4:D14" si="0">B4-C4</f>
        <v>500000</v>
      </c>
      <c r="E4" s="14">
        <f t="shared" ref="E4:E14" si="1">IFERROR(C4/B4,0)</f>
        <v>0</v>
      </c>
      <c r="F4" s="12" t="str">
        <f t="shared" ref="F4:F14" si="2">IF(B4=0,"À définir",IF(C4&lt;=B4,"OK","DÉPASSÉ"))</f>
        <v>OK</v>
      </c>
    </row>
    <row r="5" spans="1:6" ht="21" x14ac:dyDescent="0.35">
      <c r="A5" s="7" t="s">
        <v>16</v>
      </c>
      <c r="B5" s="34">
        <v>100000</v>
      </c>
      <c r="C5" s="12">
        <f>SUMIFS(BUDGET_MENSUEL!$E$2:$E$200,BUDGET_MENSUEL!$C$2:$C$200,A5,BUDGET_MENSUEL!$B$2:$B$200,"Dépense")</f>
        <v>0</v>
      </c>
      <c r="D5" s="13">
        <f t="shared" si="0"/>
        <v>100000</v>
      </c>
      <c r="E5" s="14">
        <f t="shared" si="1"/>
        <v>0</v>
      </c>
      <c r="F5" s="12" t="str">
        <f t="shared" si="2"/>
        <v>OK</v>
      </c>
    </row>
    <row r="6" spans="1:6" ht="21" x14ac:dyDescent="0.35">
      <c r="A6" s="7" t="s">
        <v>17</v>
      </c>
      <c r="B6" s="34">
        <v>10000</v>
      </c>
      <c r="C6" s="12">
        <f>SUMIFS(BUDGET_MENSUEL!$E$2:$E$200,BUDGET_MENSUEL!$C$2:$C$200,A6,BUDGET_MENSUEL!$B$2:$B$200,"Dépense")</f>
        <v>0</v>
      </c>
      <c r="D6" s="13">
        <f t="shared" si="0"/>
        <v>10000</v>
      </c>
      <c r="E6" s="14">
        <f t="shared" si="1"/>
        <v>0</v>
      </c>
      <c r="F6" s="12" t="str">
        <f t="shared" si="2"/>
        <v>OK</v>
      </c>
    </row>
    <row r="7" spans="1:6" ht="21" x14ac:dyDescent="0.35">
      <c r="A7" s="7" t="s">
        <v>36</v>
      </c>
      <c r="B7" s="34">
        <v>500000</v>
      </c>
      <c r="C7" s="12">
        <f>SUMIFS(BUDGET_MENSUEL!$E$2:$E$200,BUDGET_MENSUEL!$C$2:$C$200,A7,BUDGET_MENSUEL!$B$2:$B$200,"Dépense")</f>
        <v>0</v>
      </c>
      <c r="D7" s="13">
        <f t="shared" si="0"/>
        <v>500000</v>
      </c>
      <c r="E7" s="14">
        <f t="shared" si="1"/>
        <v>0</v>
      </c>
      <c r="F7" s="12" t="str">
        <f t="shared" si="2"/>
        <v>OK</v>
      </c>
    </row>
    <row r="8" spans="1:6" ht="21" x14ac:dyDescent="0.35">
      <c r="A8" s="7" t="s">
        <v>37</v>
      </c>
      <c r="B8" s="34">
        <v>50000</v>
      </c>
      <c r="C8" s="12">
        <f>SUMIFS(BUDGET_MENSUEL!$E$2:$E$200,BUDGET_MENSUEL!$C$2:$C$200,A8,BUDGET_MENSUEL!$B$2:$B$200,"Dépense")</f>
        <v>10000</v>
      </c>
      <c r="D8" s="13">
        <f t="shared" si="0"/>
        <v>40000</v>
      </c>
      <c r="E8" s="14">
        <f t="shared" si="1"/>
        <v>0.2</v>
      </c>
      <c r="F8" s="12" t="str">
        <f t="shared" si="2"/>
        <v>OK</v>
      </c>
    </row>
    <row r="9" spans="1:6" ht="21" x14ac:dyDescent="0.35">
      <c r="A9" s="7" t="s">
        <v>38</v>
      </c>
      <c r="B9" s="34">
        <v>10000</v>
      </c>
      <c r="C9" s="12">
        <f>SUMIFS(BUDGET_MENSUEL!$E$2:$E$200,BUDGET_MENSUEL!$C$2:$C$200,A9,BUDGET_MENSUEL!$B$2:$B$200,"Dépense")</f>
        <v>0</v>
      </c>
      <c r="D9" s="13">
        <f t="shared" si="0"/>
        <v>10000</v>
      </c>
      <c r="E9" s="14">
        <f t="shared" si="1"/>
        <v>0</v>
      </c>
      <c r="F9" s="12" t="str">
        <f t="shared" si="2"/>
        <v>OK</v>
      </c>
    </row>
    <row r="10" spans="1:6" ht="21" x14ac:dyDescent="0.35">
      <c r="A10" s="7" t="s">
        <v>39</v>
      </c>
      <c r="B10" s="34">
        <v>10000</v>
      </c>
      <c r="C10" s="12">
        <f>SUMIFS(BUDGET_MENSUEL!$E$2:$E$200,BUDGET_MENSUEL!$C$2:$C$200,A10,BUDGET_MENSUEL!$B$2:$B$200,"Dépense")</f>
        <v>0</v>
      </c>
      <c r="D10" s="13">
        <f t="shared" si="0"/>
        <v>10000</v>
      </c>
      <c r="E10" s="14">
        <f t="shared" si="1"/>
        <v>0</v>
      </c>
      <c r="F10" s="12" t="str">
        <f t="shared" si="2"/>
        <v>OK</v>
      </c>
    </row>
    <row r="11" spans="1:6" ht="21" x14ac:dyDescent="0.35">
      <c r="A11" s="7" t="s">
        <v>40</v>
      </c>
      <c r="B11" s="34">
        <v>5000000</v>
      </c>
      <c r="C11" s="12">
        <f>SUMIFS(BUDGET_MENSUEL!$E$2:$E$200,BUDGET_MENSUEL!$C$2:$C$200,A11,BUDGET_MENSUEL!$B$2:$B$200,"Dépense")</f>
        <v>0</v>
      </c>
      <c r="D11" s="13">
        <f t="shared" si="0"/>
        <v>5000000</v>
      </c>
      <c r="E11" s="14">
        <f t="shared" si="1"/>
        <v>0</v>
      </c>
      <c r="F11" s="12" t="str">
        <f t="shared" si="2"/>
        <v>OK</v>
      </c>
    </row>
    <row r="12" spans="1:6" ht="21" x14ac:dyDescent="0.35">
      <c r="A12" s="7" t="s">
        <v>41</v>
      </c>
      <c r="B12" s="34">
        <v>1000000</v>
      </c>
      <c r="C12" s="12">
        <f>SUMIFS(BUDGET_MENSUEL!$E$2:$E$200,BUDGET_MENSUEL!$C$2:$C$200,A12,BUDGET_MENSUEL!$B$2:$B$200,"Dépense")</f>
        <v>0</v>
      </c>
      <c r="D12" s="13">
        <f t="shared" si="0"/>
        <v>1000000</v>
      </c>
      <c r="E12" s="14">
        <f t="shared" si="1"/>
        <v>0</v>
      </c>
      <c r="F12" s="12" t="str">
        <f t="shared" si="2"/>
        <v>OK</v>
      </c>
    </row>
    <row r="13" spans="1:6" ht="21" x14ac:dyDescent="0.35">
      <c r="A13" s="7" t="s">
        <v>42</v>
      </c>
      <c r="B13" s="34">
        <v>15000</v>
      </c>
      <c r="C13" s="12">
        <f>SUMIFS(BUDGET_MENSUEL!$E$2:$E$200,BUDGET_MENSUEL!$C$2:$C$200,A13,BUDGET_MENSUEL!$B$2:$B$200,"Dépense")</f>
        <v>0</v>
      </c>
      <c r="D13" s="13">
        <f t="shared" si="0"/>
        <v>15000</v>
      </c>
      <c r="E13" s="14">
        <f t="shared" si="1"/>
        <v>0</v>
      </c>
      <c r="F13" s="12" t="str">
        <f t="shared" si="2"/>
        <v>OK</v>
      </c>
    </row>
    <row r="14" spans="1:6" ht="21" x14ac:dyDescent="0.35">
      <c r="A14" s="7" t="s">
        <v>43</v>
      </c>
      <c r="B14" s="34">
        <v>1000000</v>
      </c>
      <c r="C14" s="12">
        <f>SUMIFS(BUDGET_MENSUEL!$E$2:$E$200,BUDGET_MENSUEL!$C$2:$C$200,A14,BUDGET_MENSUEL!$B$2:$B$200,"Dépense")</f>
        <v>0</v>
      </c>
      <c r="D14" s="13">
        <f t="shared" si="0"/>
        <v>1000000</v>
      </c>
      <c r="E14" s="14">
        <f t="shared" si="1"/>
        <v>0</v>
      </c>
      <c r="F14" s="12" t="str">
        <f t="shared" si="2"/>
        <v>OK</v>
      </c>
    </row>
  </sheetData>
  <sheetProtection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D307-9A78-4BC7-9ADF-9F44D45861EE}">
  <dimension ref="G1:AH200"/>
  <sheetViews>
    <sheetView tabSelected="1" zoomScale="70" zoomScaleNormal="70" workbookViewId="0">
      <selection activeCell="H5" sqref="H5"/>
    </sheetView>
  </sheetViews>
  <sheetFormatPr defaultColWidth="11.42578125" defaultRowHeight="15" x14ac:dyDescent="0.25"/>
  <cols>
    <col min="1" max="1" width="27.5703125" customWidth="1"/>
    <col min="2" max="2" width="16" customWidth="1"/>
    <col min="7" max="7" width="51" customWidth="1"/>
    <col min="8" max="8" width="70" customWidth="1"/>
    <col min="9" max="9" width="13.28515625" customWidth="1"/>
    <col min="10" max="10" width="12.5703125" customWidth="1"/>
    <col min="12" max="12" width="27.42578125" customWidth="1"/>
    <col min="13" max="13" width="22.85546875" customWidth="1"/>
    <col min="32" max="32" width="4.85546875" customWidth="1"/>
    <col min="33" max="33" width="29.5703125" customWidth="1"/>
    <col min="34" max="34" width="21.7109375" customWidth="1"/>
  </cols>
  <sheetData>
    <row r="1" spans="7:34" ht="28.5" x14ac:dyDescent="0.45">
      <c r="G1" s="5" t="s">
        <v>29</v>
      </c>
      <c r="H1" s="5" t="s">
        <v>58</v>
      </c>
      <c r="AG1" s="18" t="s">
        <v>30</v>
      </c>
      <c r="AH1" s="18" t="s">
        <v>32</v>
      </c>
    </row>
    <row r="2" spans="7:34" ht="25.5" x14ac:dyDescent="0.35">
      <c r="G2" s="4" t="s">
        <v>24</v>
      </c>
      <c r="H2" s="35">
        <f>SUMIF(BUDGET_MENSUEL!B2:B200,"Revenu",BUDGET_MENSUEL!E2:E200)</f>
        <v>6000000</v>
      </c>
      <c r="AG2" s="17" t="str">
        <f>IF(Tableau6[[#This Row],[DATE ]]="","",Tableau6[[#This Row],[DATE ]])</f>
        <v/>
      </c>
      <c r="AH2" s="16" t="str">
        <f>Tableau6[[#This Row],[CUMUL]]</f>
        <v/>
      </c>
    </row>
    <row r="3" spans="7:34" ht="25.5" x14ac:dyDescent="0.35">
      <c r="G3" s="4" t="s">
        <v>25</v>
      </c>
      <c r="H3" s="35">
        <f>SUMIF(BUDGET_MENSUEL!B2:B200,"Dépense",BUDGET_MENSUEL!E2:E200)</f>
        <v>1010000</v>
      </c>
      <c r="AG3" s="17" t="str">
        <f>IF(Tableau6[[#This Row],[DATE ]]="","",Tableau6[[#This Row],[DATE ]])</f>
        <v/>
      </c>
      <c r="AH3" s="16" t="str">
        <f>Tableau6[[#This Row],[CUMUL]]</f>
        <v/>
      </c>
    </row>
    <row r="4" spans="7:34" ht="25.5" x14ac:dyDescent="0.35">
      <c r="G4" s="4" t="s">
        <v>26</v>
      </c>
      <c r="H4" s="35">
        <f>H2-H3</f>
        <v>4990000</v>
      </c>
      <c r="AG4" s="17" t="str">
        <f>IF(Tableau6[[#This Row],[DATE ]]="","",Tableau6[[#This Row],[DATE ]])</f>
        <v/>
      </c>
      <c r="AH4" s="16" t="str">
        <f>Tableau6[[#This Row],[CUMUL]]</f>
        <v/>
      </c>
    </row>
    <row r="5" spans="7:34" ht="25.5" x14ac:dyDescent="0.35">
      <c r="G5" s="4" t="s">
        <v>27</v>
      </c>
      <c r="H5" s="36">
        <f>IFERROR(H4/H2,"")</f>
        <v>0.83166666666666667</v>
      </c>
      <c r="AG5" s="17" t="str">
        <f>IF(Tableau6[[#This Row],[DATE ]]="","",Tableau6[[#This Row],[DATE ]])</f>
        <v/>
      </c>
      <c r="AH5" s="16" t="str">
        <f>Tableau6[[#This Row],[CUMUL]]</f>
        <v/>
      </c>
    </row>
    <row r="6" spans="7:34" ht="25.5" x14ac:dyDescent="0.35">
      <c r="G6" s="4" t="s">
        <v>28</v>
      </c>
      <c r="H6" s="37">
        <f>COUNTIF(BUDGET_MENSUEL!B2:B200,"Revenu")+COUNTIF(BUDGET_MENSUEL!B2:B200,"Dépense")</f>
        <v>5</v>
      </c>
      <c r="AG6" s="17" t="str">
        <f>IF(Tableau6[[#This Row],[DATE ]]="","",Tableau6[[#This Row],[DATE ]])</f>
        <v/>
      </c>
      <c r="AH6" s="16" t="str">
        <f>Tableau6[[#This Row],[CUMUL]]</f>
        <v/>
      </c>
    </row>
    <row r="7" spans="7:34" x14ac:dyDescent="0.25">
      <c r="H7" s="38"/>
      <c r="AG7" s="17" t="str">
        <f>IF(Tableau6[[#This Row],[DATE ]]="","",Tableau6[[#This Row],[DATE ]])</f>
        <v/>
      </c>
      <c r="AH7" s="16" t="str">
        <f>Tableau6[[#This Row],[CUMUL]]</f>
        <v/>
      </c>
    </row>
    <row r="8" spans="7:34" x14ac:dyDescent="0.25">
      <c r="AG8" s="17" t="str">
        <f>IF(Tableau6[[#This Row],[DATE ]]="","",Tableau6[[#This Row],[DATE ]])</f>
        <v/>
      </c>
      <c r="AH8" s="16" t="str">
        <f>Tableau6[[#This Row],[CUMUL]]</f>
        <v/>
      </c>
    </row>
    <row r="9" spans="7:34" x14ac:dyDescent="0.25">
      <c r="AG9" s="17" t="str">
        <f>IF(Tableau6[[#This Row],[DATE ]]="","",Tableau6[[#This Row],[DATE ]])</f>
        <v/>
      </c>
      <c r="AH9" s="16" t="str">
        <f>Tableau6[[#This Row],[CUMUL]]</f>
        <v/>
      </c>
    </row>
    <row r="10" spans="7:34" x14ac:dyDescent="0.25">
      <c r="AG10" s="17" t="str">
        <f>IF(Tableau6[[#This Row],[DATE ]]="","",Tableau6[[#This Row],[DATE ]])</f>
        <v/>
      </c>
      <c r="AH10" s="16" t="str">
        <f>Tableau6[[#This Row],[CUMUL]]</f>
        <v/>
      </c>
    </row>
    <row r="11" spans="7:34" x14ac:dyDescent="0.25">
      <c r="AG11" s="17" t="str">
        <f>IF(Tableau6[[#This Row],[DATE ]]="","",Tableau6[[#This Row],[DATE ]])</f>
        <v/>
      </c>
      <c r="AH11" s="16" t="str">
        <f>Tableau6[[#This Row],[CUMUL]]</f>
        <v/>
      </c>
    </row>
    <row r="12" spans="7:34" x14ac:dyDescent="0.25">
      <c r="AG12" s="17" t="str">
        <f>IF(Tableau6[[#This Row],[DATE ]]="","",Tableau6[[#This Row],[DATE ]])</f>
        <v/>
      </c>
      <c r="AH12" s="16" t="str">
        <f>Tableau6[[#This Row],[CUMUL]]</f>
        <v/>
      </c>
    </row>
    <row r="13" spans="7:34" x14ac:dyDescent="0.25">
      <c r="AG13" s="17" t="str">
        <f>IF(Tableau6[[#This Row],[DATE ]]="","",Tableau6[[#This Row],[DATE ]])</f>
        <v/>
      </c>
      <c r="AH13" s="16" t="str">
        <f>Tableau6[[#This Row],[CUMUL]]</f>
        <v/>
      </c>
    </row>
    <row r="14" spans="7:34" x14ac:dyDescent="0.25">
      <c r="AG14" s="17" t="str">
        <f>IF(Tableau6[[#This Row],[DATE ]]="","",Tableau6[[#This Row],[DATE ]])</f>
        <v/>
      </c>
      <c r="AH14" s="16" t="str">
        <f>Tableau6[[#This Row],[CUMUL]]</f>
        <v/>
      </c>
    </row>
    <row r="15" spans="7:34" x14ac:dyDescent="0.25">
      <c r="AG15" s="17" t="str">
        <f>IF(Tableau6[[#This Row],[DATE ]]="","",Tableau6[[#This Row],[DATE ]])</f>
        <v/>
      </c>
      <c r="AH15" s="16" t="str">
        <f>Tableau6[[#This Row],[CUMUL]]</f>
        <v/>
      </c>
    </row>
    <row r="16" spans="7:34" x14ac:dyDescent="0.25">
      <c r="AG16" s="17" t="str">
        <f>IF(Tableau6[[#This Row],[DATE ]]="","",Tableau6[[#This Row],[DATE ]])</f>
        <v/>
      </c>
      <c r="AH16" s="16" t="str">
        <f>Tableau6[[#This Row],[CUMUL]]</f>
        <v/>
      </c>
    </row>
    <row r="17" spans="33:34" x14ac:dyDescent="0.25">
      <c r="AG17" s="17" t="str">
        <f>IF(Tableau6[[#This Row],[DATE ]]="","",Tableau6[[#This Row],[DATE ]])</f>
        <v/>
      </c>
      <c r="AH17" s="16" t="str">
        <f>Tableau6[[#This Row],[CUMUL]]</f>
        <v/>
      </c>
    </row>
    <row r="18" spans="33:34" x14ac:dyDescent="0.25">
      <c r="AG18" s="17" t="str">
        <f>IF(Tableau6[[#This Row],[DATE ]]="","",Tableau6[[#This Row],[DATE ]])</f>
        <v/>
      </c>
      <c r="AH18" s="16" t="str">
        <f>Tableau6[[#This Row],[CUMUL]]</f>
        <v/>
      </c>
    </row>
    <row r="19" spans="33:34" x14ac:dyDescent="0.25">
      <c r="AG19" s="17" t="str">
        <f>IF(Tableau6[[#This Row],[DATE ]]="","",Tableau6[[#This Row],[DATE ]])</f>
        <v/>
      </c>
      <c r="AH19" s="16" t="str">
        <f>Tableau6[[#This Row],[CUMUL]]</f>
        <v/>
      </c>
    </row>
    <row r="20" spans="33:34" x14ac:dyDescent="0.25">
      <c r="AG20" s="17" t="str">
        <f>IF(Tableau6[[#This Row],[DATE ]]="","",Tableau6[[#This Row],[DATE ]])</f>
        <v/>
      </c>
      <c r="AH20" s="16" t="str">
        <f>Tableau6[[#This Row],[CUMUL]]</f>
        <v/>
      </c>
    </row>
    <row r="21" spans="33:34" x14ac:dyDescent="0.25">
      <c r="AG21" s="17" t="str">
        <f>IF(Tableau6[[#This Row],[DATE ]]="","",Tableau6[[#This Row],[DATE ]])</f>
        <v/>
      </c>
      <c r="AH21" s="16" t="str">
        <f>Tableau6[[#This Row],[CUMUL]]</f>
        <v/>
      </c>
    </row>
    <row r="22" spans="33:34" x14ac:dyDescent="0.25">
      <c r="AG22" s="17" t="str">
        <f>IF(Tableau6[[#This Row],[DATE ]]="","",Tableau6[[#This Row],[DATE ]])</f>
        <v/>
      </c>
      <c r="AH22" s="16" t="str">
        <f>Tableau6[[#This Row],[CUMUL]]</f>
        <v/>
      </c>
    </row>
    <row r="23" spans="33:34" x14ac:dyDescent="0.25">
      <c r="AG23" s="17" t="str">
        <f>IF(Tableau6[[#This Row],[DATE ]]="","",Tableau6[[#This Row],[DATE ]])</f>
        <v/>
      </c>
      <c r="AH23" s="16" t="str">
        <f>Tableau6[[#This Row],[CUMUL]]</f>
        <v/>
      </c>
    </row>
    <row r="24" spans="33:34" x14ac:dyDescent="0.25">
      <c r="AG24" s="17" t="str">
        <f>IF(Tableau6[[#This Row],[DATE ]]="","",Tableau6[[#This Row],[DATE ]])</f>
        <v/>
      </c>
      <c r="AH24" s="16" t="str">
        <f>Tableau6[[#This Row],[CUMUL]]</f>
        <v/>
      </c>
    </row>
    <row r="25" spans="33:34" x14ac:dyDescent="0.25">
      <c r="AG25" s="17" t="str">
        <f>IF(Tableau6[[#This Row],[DATE ]]="","",Tableau6[[#This Row],[DATE ]])</f>
        <v/>
      </c>
      <c r="AH25" s="16" t="str">
        <f>Tableau6[[#This Row],[CUMUL]]</f>
        <v/>
      </c>
    </row>
    <row r="26" spans="33:34" x14ac:dyDescent="0.25">
      <c r="AG26" s="17" t="str">
        <f>IF(Tableau6[[#This Row],[DATE ]]="","",Tableau6[[#This Row],[DATE ]])</f>
        <v/>
      </c>
      <c r="AH26" s="16" t="str">
        <f>Tableau6[[#This Row],[CUMUL]]</f>
        <v/>
      </c>
    </row>
    <row r="27" spans="33:34" x14ac:dyDescent="0.25">
      <c r="AG27" s="17" t="str">
        <f>IF(Tableau6[[#This Row],[DATE ]]="","",Tableau6[[#This Row],[DATE ]])</f>
        <v/>
      </c>
      <c r="AH27" s="16" t="str">
        <f>Tableau6[[#This Row],[CUMUL]]</f>
        <v/>
      </c>
    </row>
    <row r="28" spans="33:34" x14ac:dyDescent="0.25">
      <c r="AG28" s="17" t="str">
        <f>IF(Tableau6[[#This Row],[DATE ]]="","",Tableau6[[#This Row],[DATE ]])</f>
        <v/>
      </c>
      <c r="AH28" s="16" t="str">
        <f>Tableau6[[#This Row],[CUMUL]]</f>
        <v/>
      </c>
    </row>
    <row r="29" spans="33:34" x14ac:dyDescent="0.25">
      <c r="AG29" s="17" t="str">
        <f>IF(Tableau6[[#This Row],[DATE ]]="","",Tableau6[[#This Row],[DATE ]])</f>
        <v/>
      </c>
      <c r="AH29" s="16" t="str">
        <f>Tableau6[[#This Row],[CUMUL]]</f>
        <v/>
      </c>
    </row>
    <row r="30" spans="33:34" x14ac:dyDescent="0.25">
      <c r="AG30" s="17" t="str">
        <f>IF(Tableau6[[#This Row],[DATE ]]="","",Tableau6[[#This Row],[DATE ]])</f>
        <v/>
      </c>
      <c r="AH30" s="16" t="str">
        <f>Tableau6[[#This Row],[CUMUL]]</f>
        <v/>
      </c>
    </row>
    <row r="31" spans="33:34" x14ac:dyDescent="0.25">
      <c r="AG31" s="17" t="str">
        <f>IF(Tableau6[[#This Row],[DATE ]]="","",Tableau6[[#This Row],[DATE ]])</f>
        <v/>
      </c>
      <c r="AH31" s="16" t="str">
        <f>Tableau6[[#This Row],[CUMUL]]</f>
        <v/>
      </c>
    </row>
    <row r="32" spans="33:34" x14ac:dyDescent="0.25">
      <c r="AG32" s="17" t="str">
        <f>IF(Tableau6[[#This Row],[DATE ]]="","",Tableau6[[#This Row],[DATE ]])</f>
        <v/>
      </c>
      <c r="AH32" s="16" t="str">
        <f>Tableau6[[#This Row],[CUMUL]]</f>
        <v/>
      </c>
    </row>
    <row r="33" spans="33:34" x14ac:dyDescent="0.25">
      <c r="AG33" s="17" t="str">
        <f>IF(Tableau6[[#This Row],[DATE ]]="","",Tableau6[[#This Row],[DATE ]])</f>
        <v/>
      </c>
      <c r="AH33" s="16" t="str">
        <f>Tableau6[[#This Row],[CUMUL]]</f>
        <v/>
      </c>
    </row>
    <row r="34" spans="33:34" x14ac:dyDescent="0.25">
      <c r="AG34" s="17" t="str">
        <f>IF(Tableau6[[#This Row],[DATE ]]="","",Tableau6[[#This Row],[DATE ]])</f>
        <v/>
      </c>
      <c r="AH34" s="16" t="str">
        <f>Tableau6[[#This Row],[CUMUL]]</f>
        <v/>
      </c>
    </row>
    <row r="35" spans="33:34" x14ac:dyDescent="0.25">
      <c r="AG35" s="17" t="str">
        <f>IF(Tableau6[[#This Row],[DATE ]]="","",Tableau6[[#This Row],[DATE ]])</f>
        <v/>
      </c>
      <c r="AH35" s="16" t="str">
        <f>Tableau6[[#This Row],[CUMUL]]</f>
        <v/>
      </c>
    </row>
    <row r="36" spans="33:34" x14ac:dyDescent="0.25">
      <c r="AG36" s="17" t="str">
        <f>IF(Tableau6[[#This Row],[DATE ]]="","",Tableau6[[#This Row],[DATE ]])</f>
        <v/>
      </c>
      <c r="AH36" s="16" t="str">
        <f>Tableau6[[#This Row],[CUMUL]]</f>
        <v/>
      </c>
    </row>
    <row r="37" spans="33:34" x14ac:dyDescent="0.25">
      <c r="AG37" s="17" t="str">
        <f>IF(Tableau6[[#This Row],[DATE ]]="","",Tableau6[[#This Row],[DATE ]])</f>
        <v/>
      </c>
      <c r="AH37" s="16" t="str">
        <f>Tableau6[[#This Row],[CUMUL]]</f>
        <v/>
      </c>
    </row>
    <row r="38" spans="33:34" x14ac:dyDescent="0.25">
      <c r="AG38" s="17" t="str">
        <f>IF(Tableau6[[#This Row],[DATE ]]="","",Tableau6[[#This Row],[DATE ]])</f>
        <v/>
      </c>
      <c r="AH38" s="16" t="str">
        <f>Tableau6[[#This Row],[CUMUL]]</f>
        <v/>
      </c>
    </row>
    <row r="39" spans="33:34" x14ac:dyDescent="0.25">
      <c r="AG39" s="17" t="str">
        <f>IF(Tableau6[[#This Row],[DATE ]]="","",Tableau6[[#This Row],[DATE ]])</f>
        <v/>
      </c>
      <c r="AH39" s="16" t="str">
        <f>Tableau6[[#This Row],[CUMUL]]</f>
        <v/>
      </c>
    </row>
    <row r="40" spans="33:34" x14ac:dyDescent="0.25">
      <c r="AG40" s="17" t="str">
        <f>IF(Tableau6[[#This Row],[DATE ]]="","",Tableau6[[#This Row],[DATE ]])</f>
        <v/>
      </c>
      <c r="AH40" s="16" t="str">
        <f>Tableau6[[#This Row],[CUMUL]]</f>
        <v/>
      </c>
    </row>
    <row r="41" spans="33:34" x14ac:dyDescent="0.25">
      <c r="AG41" s="17" t="str">
        <f>IF(Tableau6[[#This Row],[DATE ]]="","",Tableau6[[#This Row],[DATE ]])</f>
        <v/>
      </c>
      <c r="AH41" s="16" t="str">
        <f>Tableau6[[#This Row],[CUMUL]]</f>
        <v/>
      </c>
    </row>
    <row r="42" spans="33:34" x14ac:dyDescent="0.25">
      <c r="AG42" s="17" t="str">
        <f>IF(Tableau6[[#This Row],[DATE ]]="","",Tableau6[[#This Row],[DATE ]])</f>
        <v/>
      </c>
      <c r="AH42" s="16" t="str">
        <f>Tableau6[[#This Row],[CUMUL]]</f>
        <v/>
      </c>
    </row>
    <row r="43" spans="33:34" x14ac:dyDescent="0.25">
      <c r="AG43" s="17" t="str">
        <f>IF(Tableau6[[#This Row],[DATE ]]="","",Tableau6[[#This Row],[DATE ]])</f>
        <v/>
      </c>
      <c r="AH43" s="16" t="str">
        <f>Tableau6[[#This Row],[CUMUL]]</f>
        <v/>
      </c>
    </row>
    <row r="44" spans="33:34" x14ac:dyDescent="0.25">
      <c r="AG44" s="17" t="str">
        <f>IF(Tableau6[[#This Row],[DATE ]]="","",Tableau6[[#This Row],[DATE ]])</f>
        <v/>
      </c>
      <c r="AH44" s="16" t="str">
        <f>Tableau6[[#This Row],[CUMUL]]</f>
        <v/>
      </c>
    </row>
    <row r="45" spans="33:34" x14ac:dyDescent="0.25">
      <c r="AG45" s="17" t="str">
        <f>IF(Tableau6[[#This Row],[DATE ]]="","",Tableau6[[#This Row],[DATE ]])</f>
        <v/>
      </c>
      <c r="AH45" s="16" t="str">
        <f>Tableau6[[#This Row],[CUMUL]]</f>
        <v/>
      </c>
    </row>
    <row r="46" spans="33:34" x14ac:dyDescent="0.25">
      <c r="AG46" s="17" t="str">
        <f>IF(Tableau6[[#This Row],[DATE ]]="","",Tableau6[[#This Row],[DATE ]])</f>
        <v/>
      </c>
      <c r="AH46" s="16" t="str">
        <f>Tableau6[[#This Row],[CUMUL]]</f>
        <v/>
      </c>
    </row>
    <row r="47" spans="33:34" x14ac:dyDescent="0.25">
      <c r="AG47" s="17" t="str">
        <f>IF(Tableau6[[#This Row],[DATE ]]="","",Tableau6[[#This Row],[DATE ]])</f>
        <v/>
      </c>
      <c r="AH47" s="16" t="str">
        <f>Tableau6[[#This Row],[CUMUL]]</f>
        <v/>
      </c>
    </row>
    <row r="48" spans="33:34" x14ac:dyDescent="0.25">
      <c r="AG48" s="17" t="str">
        <f>IF(Tableau6[[#This Row],[DATE ]]="","",Tableau6[[#This Row],[DATE ]])</f>
        <v/>
      </c>
      <c r="AH48" s="16" t="str">
        <f>Tableau6[[#This Row],[CUMUL]]</f>
        <v/>
      </c>
    </row>
    <row r="49" spans="33:34" x14ac:dyDescent="0.25">
      <c r="AG49" s="17" t="str">
        <f>IF(Tableau6[[#This Row],[DATE ]]="","",Tableau6[[#This Row],[DATE ]])</f>
        <v/>
      </c>
      <c r="AH49" s="16" t="str">
        <f>Tableau6[[#This Row],[CUMUL]]</f>
        <v/>
      </c>
    </row>
    <row r="50" spans="33:34" x14ac:dyDescent="0.25">
      <c r="AG50" s="17" t="str">
        <f>IF(Tableau6[[#This Row],[DATE ]]="","",Tableau6[[#This Row],[DATE ]])</f>
        <v/>
      </c>
      <c r="AH50" s="16" t="str">
        <f>Tableau6[[#This Row],[CUMUL]]</f>
        <v/>
      </c>
    </row>
    <row r="51" spans="33:34" x14ac:dyDescent="0.25">
      <c r="AG51" s="17" t="str">
        <f>IF(Tableau6[[#This Row],[DATE ]]="","",Tableau6[[#This Row],[DATE ]])</f>
        <v/>
      </c>
      <c r="AH51" s="16" t="str">
        <f>Tableau6[[#This Row],[CUMUL]]</f>
        <v/>
      </c>
    </row>
    <row r="52" spans="33:34" x14ac:dyDescent="0.25">
      <c r="AG52" s="17" t="str">
        <f>IF(Tableau6[[#This Row],[DATE ]]="","",Tableau6[[#This Row],[DATE ]])</f>
        <v/>
      </c>
      <c r="AH52" s="16" t="str">
        <f>Tableau6[[#This Row],[CUMUL]]</f>
        <v/>
      </c>
    </row>
    <row r="53" spans="33:34" x14ac:dyDescent="0.25">
      <c r="AG53" s="17" t="str">
        <f>IF(Tableau6[[#This Row],[DATE ]]="","",Tableau6[[#This Row],[DATE ]])</f>
        <v/>
      </c>
      <c r="AH53" s="16" t="str">
        <f>Tableau6[[#This Row],[CUMUL]]</f>
        <v/>
      </c>
    </row>
    <row r="54" spans="33:34" x14ac:dyDescent="0.25">
      <c r="AG54" s="17" t="str">
        <f>IF(Tableau6[[#This Row],[DATE ]]="","",Tableau6[[#This Row],[DATE ]])</f>
        <v/>
      </c>
      <c r="AH54" s="16" t="str">
        <f>Tableau6[[#This Row],[CUMUL]]</f>
        <v/>
      </c>
    </row>
    <row r="55" spans="33:34" x14ac:dyDescent="0.25">
      <c r="AG55" s="17" t="str">
        <f>IF(Tableau6[[#This Row],[DATE ]]="","",Tableau6[[#This Row],[DATE ]])</f>
        <v/>
      </c>
      <c r="AH55" s="16" t="str">
        <f>Tableau6[[#This Row],[CUMUL]]</f>
        <v/>
      </c>
    </row>
    <row r="56" spans="33:34" x14ac:dyDescent="0.25">
      <c r="AG56" s="17" t="str">
        <f>IF(Tableau6[[#This Row],[DATE ]]="","",Tableau6[[#This Row],[DATE ]])</f>
        <v/>
      </c>
      <c r="AH56" s="16" t="str">
        <f>Tableau6[[#This Row],[CUMUL]]</f>
        <v/>
      </c>
    </row>
    <row r="57" spans="33:34" x14ac:dyDescent="0.25">
      <c r="AG57" s="17" t="str">
        <f>IF(Tableau6[[#This Row],[DATE ]]="","",Tableau6[[#This Row],[DATE ]])</f>
        <v/>
      </c>
      <c r="AH57" s="16" t="str">
        <f>Tableau6[[#This Row],[CUMUL]]</f>
        <v/>
      </c>
    </row>
    <row r="58" spans="33:34" x14ac:dyDescent="0.25">
      <c r="AG58" s="17" t="str">
        <f>IF(Tableau6[[#This Row],[DATE ]]="","",Tableau6[[#This Row],[DATE ]])</f>
        <v/>
      </c>
      <c r="AH58" s="16" t="str">
        <f>Tableau6[[#This Row],[CUMUL]]</f>
        <v/>
      </c>
    </row>
    <row r="59" spans="33:34" x14ac:dyDescent="0.25">
      <c r="AG59" s="17" t="str">
        <f>IF(Tableau6[[#This Row],[DATE ]]="","",Tableau6[[#This Row],[DATE ]])</f>
        <v/>
      </c>
      <c r="AH59" s="16" t="str">
        <f>Tableau6[[#This Row],[CUMUL]]</f>
        <v/>
      </c>
    </row>
    <row r="60" spans="33:34" x14ac:dyDescent="0.25">
      <c r="AG60" s="17" t="str">
        <f>IF(Tableau6[[#This Row],[DATE ]]="","",Tableau6[[#This Row],[DATE ]])</f>
        <v/>
      </c>
      <c r="AH60" s="16" t="str">
        <f>Tableau6[[#This Row],[CUMUL]]</f>
        <v/>
      </c>
    </row>
    <row r="61" spans="33:34" x14ac:dyDescent="0.25">
      <c r="AG61" s="17" t="str">
        <f>IF(Tableau6[[#This Row],[DATE ]]="","",Tableau6[[#This Row],[DATE ]])</f>
        <v/>
      </c>
      <c r="AH61" s="16" t="str">
        <f>Tableau6[[#This Row],[CUMUL]]</f>
        <v/>
      </c>
    </row>
    <row r="62" spans="33:34" x14ac:dyDescent="0.25">
      <c r="AG62" s="17" t="str">
        <f>IF(Tableau6[[#This Row],[DATE ]]="","",Tableau6[[#This Row],[DATE ]])</f>
        <v/>
      </c>
      <c r="AH62" s="16" t="str">
        <f>Tableau6[[#This Row],[CUMUL]]</f>
        <v/>
      </c>
    </row>
    <row r="63" spans="33:34" x14ac:dyDescent="0.25">
      <c r="AG63" s="17" t="str">
        <f>IF(Tableau6[[#This Row],[DATE ]]="","",Tableau6[[#This Row],[DATE ]])</f>
        <v/>
      </c>
      <c r="AH63" s="16" t="str">
        <f>Tableau6[[#This Row],[CUMUL]]</f>
        <v/>
      </c>
    </row>
    <row r="64" spans="33:34" x14ac:dyDescent="0.25">
      <c r="AG64" s="17" t="str">
        <f>IF(Tableau6[[#This Row],[DATE ]]="","",Tableau6[[#This Row],[DATE ]])</f>
        <v/>
      </c>
      <c r="AH64" s="16" t="str">
        <f>Tableau6[[#This Row],[CUMUL]]</f>
        <v/>
      </c>
    </row>
    <row r="65" spans="33:34" x14ac:dyDescent="0.25">
      <c r="AG65" s="17" t="str">
        <f>IF(Tableau6[[#This Row],[DATE ]]="","",Tableau6[[#This Row],[DATE ]])</f>
        <v/>
      </c>
      <c r="AH65" s="16" t="str">
        <f>Tableau6[[#This Row],[CUMUL]]</f>
        <v/>
      </c>
    </row>
    <row r="66" spans="33:34" x14ac:dyDescent="0.25">
      <c r="AG66" s="17" t="str">
        <f>IF(Tableau6[[#This Row],[DATE ]]="","",Tableau6[[#This Row],[DATE ]])</f>
        <v/>
      </c>
      <c r="AH66" s="16" t="str">
        <f>Tableau6[[#This Row],[CUMUL]]</f>
        <v/>
      </c>
    </row>
    <row r="67" spans="33:34" x14ac:dyDescent="0.25">
      <c r="AG67" s="17" t="str">
        <f>IF(Tableau6[[#This Row],[DATE ]]="","",Tableau6[[#This Row],[DATE ]])</f>
        <v/>
      </c>
      <c r="AH67" s="16" t="str">
        <f>Tableau6[[#This Row],[CUMUL]]</f>
        <v/>
      </c>
    </row>
    <row r="68" spans="33:34" x14ac:dyDescent="0.25">
      <c r="AG68" s="17" t="str">
        <f>IF(Tableau6[[#This Row],[DATE ]]="","",Tableau6[[#This Row],[DATE ]])</f>
        <v/>
      </c>
      <c r="AH68" s="16" t="str">
        <f>Tableau6[[#This Row],[CUMUL]]</f>
        <v/>
      </c>
    </row>
    <row r="69" spans="33:34" x14ac:dyDescent="0.25">
      <c r="AG69" s="17" t="str">
        <f>IF(Tableau6[[#This Row],[DATE ]]="","",Tableau6[[#This Row],[DATE ]])</f>
        <v/>
      </c>
      <c r="AH69" s="16" t="str">
        <f>Tableau6[[#This Row],[CUMUL]]</f>
        <v/>
      </c>
    </row>
    <row r="70" spans="33:34" x14ac:dyDescent="0.25">
      <c r="AG70" s="17" t="str">
        <f>IF(Tableau6[[#This Row],[DATE ]]="","",Tableau6[[#This Row],[DATE ]])</f>
        <v/>
      </c>
      <c r="AH70" s="16" t="str">
        <f>Tableau6[[#This Row],[CUMUL]]</f>
        <v/>
      </c>
    </row>
    <row r="71" spans="33:34" x14ac:dyDescent="0.25">
      <c r="AG71" s="17" t="str">
        <f>IF(Tableau6[[#This Row],[DATE ]]="","",Tableau6[[#This Row],[DATE ]])</f>
        <v/>
      </c>
      <c r="AH71" s="16" t="str">
        <f>Tableau6[[#This Row],[CUMUL]]</f>
        <v/>
      </c>
    </row>
    <row r="72" spans="33:34" x14ac:dyDescent="0.25">
      <c r="AG72" s="17" t="str">
        <f>IF(Tableau6[[#This Row],[DATE ]]="","",Tableau6[[#This Row],[DATE ]])</f>
        <v/>
      </c>
      <c r="AH72" s="16" t="str">
        <f>Tableau6[[#This Row],[CUMUL]]</f>
        <v/>
      </c>
    </row>
    <row r="73" spans="33:34" x14ac:dyDescent="0.25">
      <c r="AG73" s="17" t="str">
        <f>IF(Tableau6[[#This Row],[DATE ]]="","",Tableau6[[#This Row],[DATE ]])</f>
        <v/>
      </c>
      <c r="AH73" s="16" t="str">
        <f>Tableau6[[#This Row],[CUMUL]]</f>
        <v/>
      </c>
    </row>
    <row r="74" spans="33:34" x14ac:dyDescent="0.25">
      <c r="AG74" s="17" t="str">
        <f>IF(Tableau6[[#This Row],[DATE ]]="","",Tableau6[[#This Row],[DATE ]])</f>
        <v/>
      </c>
      <c r="AH74" s="16" t="str">
        <f>Tableau6[[#This Row],[CUMUL]]</f>
        <v/>
      </c>
    </row>
    <row r="75" spans="33:34" x14ac:dyDescent="0.25">
      <c r="AG75" s="17" t="str">
        <f>IF(Tableau6[[#This Row],[DATE ]]="","",Tableau6[[#This Row],[DATE ]])</f>
        <v/>
      </c>
      <c r="AH75" s="16" t="str">
        <f>Tableau6[[#This Row],[CUMUL]]</f>
        <v/>
      </c>
    </row>
    <row r="76" spans="33:34" x14ac:dyDescent="0.25">
      <c r="AG76" s="17" t="str">
        <f>IF(Tableau6[[#This Row],[DATE ]]="","",Tableau6[[#This Row],[DATE ]])</f>
        <v/>
      </c>
      <c r="AH76" s="16" t="str">
        <f>Tableau6[[#This Row],[CUMUL]]</f>
        <v/>
      </c>
    </row>
    <row r="77" spans="33:34" x14ac:dyDescent="0.25">
      <c r="AG77" s="17" t="str">
        <f>IF(Tableau6[[#This Row],[DATE ]]="","",Tableau6[[#This Row],[DATE ]])</f>
        <v/>
      </c>
      <c r="AH77" s="16" t="str">
        <f>Tableau6[[#This Row],[CUMUL]]</f>
        <v/>
      </c>
    </row>
    <row r="78" spans="33:34" x14ac:dyDescent="0.25">
      <c r="AG78" s="17" t="str">
        <f>IF(Tableau6[[#This Row],[DATE ]]="","",Tableau6[[#This Row],[DATE ]])</f>
        <v/>
      </c>
      <c r="AH78" s="16" t="str">
        <f>Tableau6[[#This Row],[CUMUL]]</f>
        <v/>
      </c>
    </row>
    <row r="79" spans="33:34" x14ac:dyDescent="0.25">
      <c r="AG79" s="17" t="str">
        <f>IF(Tableau6[[#This Row],[DATE ]]="","",Tableau6[[#This Row],[DATE ]])</f>
        <v/>
      </c>
      <c r="AH79" s="16" t="str">
        <f>Tableau6[[#This Row],[CUMUL]]</f>
        <v/>
      </c>
    </row>
    <row r="80" spans="33:34" x14ac:dyDescent="0.25">
      <c r="AG80" s="17" t="str">
        <f>IF(Tableau6[[#This Row],[DATE ]]="","",Tableau6[[#This Row],[DATE ]])</f>
        <v/>
      </c>
      <c r="AH80" s="16" t="str">
        <f>Tableau6[[#This Row],[CUMUL]]</f>
        <v/>
      </c>
    </row>
    <row r="81" spans="33:34" x14ac:dyDescent="0.25">
      <c r="AG81" s="17" t="str">
        <f>IF(Tableau6[[#This Row],[DATE ]]="","",Tableau6[[#This Row],[DATE ]])</f>
        <v/>
      </c>
      <c r="AH81" s="16" t="str">
        <f>Tableau6[[#This Row],[CUMUL]]</f>
        <v/>
      </c>
    </row>
    <row r="82" spans="33:34" x14ac:dyDescent="0.25">
      <c r="AG82" s="17" t="str">
        <f>IF(Tableau6[[#This Row],[DATE ]]="","",Tableau6[[#This Row],[DATE ]])</f>
        <v/>
      </c>
      <c r="AH82" s="16" t="str">
        <f>Tableau6[[#This Row],[CUMUL]]</f>
        <v/>
      </c>
    </row>
    <row r="83" spans="33:34" x14ac:dyDescent="0.25">
      <c r="AG83" s="17" t="str">
        <f>IF(Tableau6[[#This Row],[DATE ]]="","",Tableau6[[#This Row],[DATE ]])</f>
        <v/>
      </c>
      <c r="AH83" s="16" t="str">
        <f>Tableau6[[#This Row],[CUMUL]]</f>
        <v/>
      </c>
    </row>
    <row r="84" spans="33:34" x14ac:dyDescent="0.25">
      <c r="AG84" s="17" t="str">
        <f>IF(Tableau6[[#This Row],[DATE ]]="","",Tableau6[[#This Row],[DATE ]])</f>
        <v/>
      </c>
      <c r="AH84" s="16" t="str">
        <f>Tableau6[[#This Row],[CUMUL]]</f>
        <v/>
      </c>
    </row>
    <row r="85" spans="33:34" x14ac:dyDescent="0.25">
      <c r="AG85" s="17" t="str">
        <f>IF(Tableau6[[#This Row],[DATE ]]="","",Tableau6[[#This Row],[DATE ]])</f>
        <v/>
      </c>
      <c r="AH85" s="16" t="str">
        <f>Tableau6[[#This Row],[CUMUL]]</f>
        <v/>
      </c>
    </row>
    <row r="86" spans="33:34" x14ac:dyDescent="0.25">
      <c r="AG86" s="17" t="str">
        <f>IF(Tableau6[[#This Row],[DATE ]]="","",Tableau6[[#This Row],[DATE ]])</f>
        <v/>
      </c>
      <c r="AH86" s="16" t="str">
        <f>Tableau6[[#This Row],[CUMUL]]</f>
        <v/>
      </c>
    </row>
    <row r="87" spans="33:34" x14ac:dyDescent="0.25">
      <c r="AG87" s="17" t="str">
        <f>IF(Tableau6[[#This Row],[DATE ]]="","",Tableau6[[#This Row],[DATE ]])</f>
        <v/>
      </c>
      <c r="AH87" s="16" t="str">
        <f>Tableau6[[#This Row],[CUMUL]]</f>
        <v/>
      </c>
    </row>
    <row r="88" spans="33:34" x14ac:dyDescent="0.25">
      <c r="AG88" s="17" t="str">
        <f>IF(Tableau6[[#This Row],[DATE ]]="","",Tableau6[[#This Row],[DATE ]])</f>
        <v/>
      </c>
      <c r="AH88" s="16" t="str">
        <f>Tableau6[[#This Row],[CUMUL]]</f>
        <v/>
      </c>
    </row>
    <row r="89" spans="33:34" x14ac:dyDescent="0.25">
      <c r="AG89" s="17" t="str">
        <f>IF(Tableau6[[#This Row],[DATE ]]="","",Tableau6[[#This Row],[DATE ]])</f>
        <v/>
      </c>
      <c r="AH89" s="16" t="str">
        <f>Tableau6[[#This Row],[CUMUL]]</f>
        <v/>
      </c>
    </row>
    <row r="90" spans="33:34" x14ac:dyDescent="0.25">
      <c r="AG90" s="17" t="str">
        <f>IF(Tableau6[[#This Row],[DATE ]]="","",Tableau6[[#This Row],[DATE ]])</f>
        <v/>
      </c>
      <c r="AH90" s="16" t="str">
        <f>Tableau6[[#This Row],[CUMUL]]</f>
        <v/>
      </c>
    </row>
    <row r="91" spans="33:34" x14ac:dyDescent="0.25">
      <c r="AG91" s="17" t="str">
        <f>IF(Tableau6[[#This Row],[DATE ]]="","",Tableau6[[#This Row],[DATE ]])</f>
        <v/>
      </c>
      <c r="AH91" s="16" t="str">
        <f>Tableau6[[#This Row],[CUMUL]]</f>
        <v/>
      </c>
    </row>
    <row r="92" spans="33:34" x14ac:dyDescent="0.25">
      <c r="AG92" s="17" t="str">
        <f>IF(Tableau6[[#This Row],[DATE ]]="","",Tableau6[[#This Row],[DATE ]])</f>
        <v/>
      </c>
      <c r="AH92" s="16" t="str">
        <f>Tableau6[[#This Row],[CUMUL]]</f>
        <v/>
      </c>
    </row>
    <row r="93" spans="33:34" x14ac:dyDescent="0.25">
      <c r="AG93" s="17" t="str">
        <f>IF(Tableau6[[#This Row],[DATE ]]="","",Tableau6[[#This Row],[DATE ]])</f>
        <v/>
      </c>
      <c r="AH93" s="16" t="str">
        <f>Tableau6[[#This Row],[CUMUL]]</f>
        <v/>
      </c>
    </row>
    <row r="94" spans="33:34" x14ac:dyDescent="0.25">
      <c r="AG94" s="17" t="str">
        <f>IF(Tableau6[[#This Row],[DATE ]]="","",Tableau6[[#This Row],[DATE ]])</f>
        <v/>
      </c>
      <c r="AH94" s="16" t="str">
        <f>Tableau6[[#This Row],[CUMUL]]</f>
        <v/>
      </c>
    </row>
    <row r="95" spans="33:34" x14ac:dyDescent="0.25">
      <c r="AG95" s="17" t="str">
        <f>IF(Tableau6[[#This Row],[DATE ]]="","",Tableau6[[#This Row],[DATE ]])</f>
        <v/>
      </c>
      <c r="AH95" s="16" t="str">
        <f>Tableau6[[#This Row],[CUMUL]]</f>
        <v/>
      </c>
    </row>
    <row r="96" spans="33:34" x14ac:dyDescent="0.25">
      <c r="AG96" s="17" t="str">
        <f>IF(Tableau6[[#This Row],[DATE ]]="","",Tableau6[[#This Row],[DATE ]])</f>
        <v/>
      </c>
      <c r="AH96" s="16" t="str">
        <f>Tableau6[[#This Row],[CUMUL]]</f>
        <v/>
      </c>
    </row>
    <row r="97" spans="33:34" x14ac:dyDescent="0.25">
      <c r="AG97" s="17" t="str">
        <f>IF(Tableau6[[#This Row],[DATE ]]="","",Tableau6[[#This Row],[DATE ]])</f>
        <v/>
      </c>
      <c r="AH97" s="16" t="str">
        <f>Tableau6[[#This Row],[CUMUL]]</f>
        <v/>
      </c>
    </row>
    <row r="98" spans="33:34" x14ac:dyDescent="0.25">
      <c r="AG98" s="17" t="str">
        <f>IF(Tableau6[[#This Row],[DATE ]]="","",Tableau6[[#This Row],[DATE ]])</f>
        <v/>
      </c>
      <c r="AH98" s="16" t="str">
        <f>Tableau6[[#This Row],[CUMUL]]</f>
        <v/>
      </c>
    </row>
    <row r="99" spans="33:34" x14ac:dyDescent="0.25">
      <c r="AG99" s="17" t="str">
        <f>IF(Tableau6[[#This Row],[DATE ]]="","",Tableau6[[#This Row],[DATE ]])</f>
        <v/>
      </c>
      <c r="AH99" s="16" t="str">
        <f>Tableau6[[#This Row],[CUMUL]]</f>
        <v/>
      </c>
    </row>
    <row r="100" spans="33:34" x14ac:dyDescent="0.25">
      <c r="AG100" s="17" t="str">
        <f>IF(Tableau6[[#This Row],[DATE ]]="","",Tableau6[[#This Row],[DATE ]])</f>
        <v/>
      </c>
      <c r="AH100" s="16" t="str">
        <f>Tableau6[[#This Row],[CUMUL]]</f>
        <v/>
      </c>
    </row>
    <row r="101" spans="33:34" x14ac:dyDescent="0.25">
      <c r="AG101" s="17" t="str">
        <f>IF(Tableau6[[#This Row],[DATE ]]="","",Tableau6[[#This Row],[DATE ]])</f>
        <v/>
      </c>
      <c r="AH101" s="16" t="str">
        <f>Tableau6[[#This Row],[CUMUL]]</f>
        <v/>
      </c>
    </row>
    <row r="102" spans="33:34" x14ac:dyDescent="0.25">
      <c r="AG102" s="17" t="str">
        <f>IF(Tableau6[[#This Row],[DATE ]]="","",Tableau6[[#This Row],[DATE ]])</f>
        <v/>
      </c>
      <c r="AH102" s="16" t="str">
        <f>Tableau6[[#This Row],[CUMUL]]</f>
        <v/>
      </c>
    </row>
    <row r="103" spans="33:34" x14ac:dyDescent="0.25">
      <c r="AG103" s="17" t="str">
        <f>IF(Tableau6[[#This Row],[DATE ]]="","",Tableau6[[#This Row],[DATE ]])</f>
        <v/>
      </c>
      <c r="AH103" s="16" t="str">
        <f>Tableau6[[#This Row],[CUMUL]]</f>
        <v/>
      </c>
    </row>
    <row r="104" spans="33:34" x14ac:dyDescent="0.25">
      <c r="AG104" s="17" t="str">
        <f>IF(Tableau6[[#This Row],[DATE ]]="","",Tableau6[[#This Row],[DATE ]])</f>
        <v/>
      </c>
      <c r="AH104" s="16" t="str">
        <f>Tableau6[[#This Row],[CUMUL]]</f>
        <v/>
      </c>
    </row>
    <row r="105" spans="33:34" x14ac:dyDescent="0.25">
      <c r="AG105" s="17" t="str">
        <f>IF(Tableau6[[#This Row],[DATE ]]="","",Tableau6[[#This Row],[DATE ]])</f>
        <v/>
      </c>
      <c r="AH105" s="16" t="str">
        <f>Tableau6[[#This Row],[CUMUL]]</f>
        <v/>
      </c>
    </row>
    <row r="106" spans="33:34" x14ac:dyDescent="0.25">
      <c r="AG106" s="17" t="str">
        <f>IF(Tableau6[[#This Row],[DATE ]]="","",Tableau6[[#This Row],[DATE ]])</f>
        <v/>
      </c>
      <c r="AH106" s="16" t="str">
        <f>Tableau6[[#This Row],[CUMUL]]</f>
        <v/>
      </c>
    </row>
    <row r="107" spans="33:34" x14ac:dyDescent="0.25">
      <c r="AG107" s="17" t="str">
        <f>IF(Tableau6[[#This Row],[DATE ]]="","",Tableau6[[#This Row],[DATE ]])</f>
        <v/>
      </c>
      <c r="AH107" s="16" t="str">
        <f>Tableau6[[#This Row],[CUMUL]]</f>
        <v/>
      </c>
    </row>
    <row r="108" spans="33:34" x14ac:dyDescent="0.25">
      <c r="AG108" s="17" t="str">
        <f>IF(Tableau6[[#This Row],[DATE ]]="","",Tableau6[[#This Row],[DATE ]])</f>
        <v/>
      </c>
      <c r="AH108" s="16" t="str">
        <f>Tableau6[[#This Row],[CUMUL]]</f>
        <v/>
      </c>
    </row>
    <row r="109" spans="33:34" x14ac:dyDescent="0.25">
      <c r="AG109" s="17" t="str">
        <f>IF(Tableau6[[#This Row],[DATE ]]="","",Tableau6[[#This Row],[DATE ]])</f>
        <v/>
      </c>
      <c r="AH109" s="16" t="str">
        <f>Tableau6[[#This Row],[CUMUL]]</f>
        <v/>
      </c>
    </row>
    <row r="110" spans="33:34" x14ac:dyDescent="0.25">
      <c r="AG110" s="17" t="str">
        <f>IF(Tableau6[[#This Row],[DATE ]]="","",Tableau6[[#This Row],[DATE ]])</f>
        <v/>
      </c>
      <c r="AH110" s="16" t="str">
        <f>Tableau6[[#This Row],[CUMUL]]</f>
        <v/>
      </c>
    </row>
    <row r="111" spans="33:34" x14ac:dyDescent="0.25">
      <c r="AG111" s="17" t="str">
        <f>IF(Tableau6[[#This Row],[DATE ]]="","",Tableau6[[#This Row],[DATE ]])</f>
        <v/>
      </c>
      <c r="AH111" s="16" t="str">
        <f>Tableau6[[#This Row],[CUMUL]]</f>
        <v/>
      </c>
    </row>
    <row r="112" spans="33:34" x14ac:dyDescent="0.25">
      <c r="AG112" s="17" t="str">
        <f>IF(Tableau6[[#This Row],[DATE ]]="","",Tableau6[[#This Row],[DATE ]])</f>
        <v/>
      </c>
      <c r="AH112" s="16" t="str">
        <f>Tableau6[[#This Row],[CUMUL]]</f>
        <v/>
      </c>
    </row>
    <row r="113" spans="33:34" x14ac:dyDescent="0.25">
      <c r="AG113" s="17" t="str">
        <f>IF(Tableau6[[#This Row],[DATE ]]="","",Tableau6[[#This Row],[DATE ]])</f>
        <v/>
      </c>
      <c r="AH113" s="16" t="str">
        <f>Tableau6[[#This Row],[CUMUL]]</f>
        <v/>
      </c>
    </row>
    <row r="114" spans="33:34" x14ac:dyDescent="0.25">
      <c r="AG114" s="17" t="str">
        <f>IF(Tableau6[[#This Row],[DATE ]]="","",Tableau6[[#This Row],[DATE ]])</f>
        <v/>
      </c>
      <c r="AH114" s="16" t="str">
        <f>Tableau6[[#This Row],[CUMUL]]</f>
        <v/>
      </c>
    </row>
    <row r="115" spans="33:34" x14ac:dyDescent="0.25">
      <c r="AG115" s="17" t="str">
        <f>IF(Tableau6[[#This Row],[DATE ]]="","",Tableau6[[#This Row],[DATE ]])</f>
        <v/>
      </c>
      <c r="AH115" s="16" t="str">
        <f>Tableau6[[#This Row],[CUMUL]]</f>
        <v/>
      </c>
    </row>
    <row r="116" spans="33:34" x14ac:dyDescent="0.25">
      <c r="AG116" s="17" t="str">
        <f>IF(Tableau6[[#This Row],[DATE ]]="","",Tableau6[[#This Row],[DATE ]])</f>
        <v/>
      </c>
      <c r="AH116" s="16" t="str">
        <f>Tableau6[[#This Row],[CUMUL]]</f>
        <v/>
      </c>
    </row>
    <row r="117" spans="33:34" x14ac:dyDescent="0.25">
      <c r="AG117" s="17" t="str">
        <f>IF(Tableau6[[#This Row],[DATE ]]="","",Tableau6[[#This Row],[DATE ]])</f>
        <v/>
      </c>
      <c r="AH117" s="16" t="str">
        <f>Tableau6[[#This Row],[CUMUL]]</f>
        <v/>
      </c>
    </row>
    <row r="118" spans="33:34" x14ac:dyDescent="0.25">
      <c r="AG118" s="17" t="str">
        <f>IF(Tableau6[[#This Row],[DATE ]]="","",Tableau6[[#This Row],[DATE ]])</f>
        <v/>
      </c>
      <c r="AH118" s="16" t="str">
        <f>Tableau6[[#This Row],[CUMUL]]</f>
        <v/>
      </c>
    </row>
    <row r="119" spans="33:34" x14ac:dyDescent="0.25">
      <c r="AG119" s="17" t="str">
        <f>IF(Tableau6[[#This Row],[DATE ]]="","",Tableau6[[#This Row],[DATE ]])</f>
        <v/>
      </c>
      <c r="AH119" s="16" t="str">
        <f>Tableau6[[#This Row],[CUMUL]]</f>
        <v/>
      </c>
    </row>
    <row r="120" spans="33:34" x14ac:dyDescent="0.25">
      <c r="AG120" s="17" t="str">
        <f>IF(Tableau6[[#This Row],[DATE ]]="","",Tableau6[[#This Row],[DATE ]])</f>
        <v/>
      </c>
      <c r="AH120" s="16" t="str">
        <f>Tableau6[[#This Row],[CUMUL]]</f>
        <v/>
      </c>
    </row>
    <row r="121" spans="33:34" x14ac:dyDescent="0.25">
      <c r="AG121" s="17" t="str">
        <f>IF(Tableau6[[#This Row],[DATE ]]="","",Tableau6[[#This Row],[DATE ]])</f>
        <v/>
      </c>
      <c r="AH121" s="16" t="str">
        <f>Tableau6[[#This Row],[CUMUL]]</f>
        <v/>
      </c>
    </row>
    <row r="122" spans="33:34" x14ac:dyDescent="0.25">
      <c r="AG122" s="17" t="str">
        <f>IF(Tableau6[[#This Row],[DATE ]]="","",Tableau6[[#This Row],[DATE ]])</f>
        <v/>
      </c>
      <c r="AH122" s="16" t="str">
        <f>Tableau6[[#This Row],[CUMUL]]</f>
        <v/>
      </c>
    </row>
    <row r="123" spans="33:34" x14ac:dyDescent="0.25">
      <c r="AG123" s="17" t="str">
        <f>IF(Tableau6[[#This Row],[DATE ]]="","",Tableau6[[#This Row],[DATE ]])</f>
        <v/>
      </c>
      <c r="AH123" s="16" t="str">
        <f>Tableau6[[#This Row],[CUMUL]]</f>
        <v/>
      </c>
    </row>
    <row r="124" spans="33:34" x14ac:dyDescent="0.25">
      <c r="AG124" s="17" t="str">
        <f>IF(Tableau6[[#This Row],[DATE ]]="","",Tableau6[[#This Row],[DATE ]])</f>
        <v/>
      </c>
      <c r="AH124" s="16" t="str">
        <f>Tableau6[[#This Row],[CUMUL]]</f>
        <v/>
      </c>
    </row>
    <row r="125" spans="33:34" x14ac:dyDescent="0.25">
      <c r="AG125" s="17" t="str">
        <f>IF(Tableau6[[#This Row],[DATE ]]="","",Tableau6[[#This Row],[DATE ]])</f>
        <v/>
      </c>
      <c r="AH125" s="16" t="str">
        <f>Tableau6[[#This Row],[CUMUL]]</f>
        <v/>
      </c>
    </row>
    <row r="126" spans="33:34" x14ac:dyDescent="0.25">
      <c r="AG126" s="17" t="str">
        <f>IF(Tableau6[[#This Row],[DATE ]]="","",Tableau6[[#This Row],[DATE ]])</f>
        <v/>
      </c>
      <c r="AH126" s="16" t="str">
        <f>Tableau6[[#This Row],[CUMUL]]</f>
        <v/>
      </c>
    </row>
    <row r="127" spans="33:34" x14ac:dyDescent="0.25">
      <c r="AG127" s="17" t="str">
        <f>IF(Tableau6[[#This Row],[DATE ]]="","",Tableau6[[#This Row],[DATE ]])</f>
        <v/>
      </c>
      <c r="AH127" s="16" t="str">
        <f>Tableau6[[#This Row],[CUMUL]]</f>
        <v/>
      </c>
    </row>
    <row r="128" spans="33:34" x14ac:dyDescent="0.25">
      <c r="AG128" s="17" t="str">
        <f>IF(Tableau6[[#This Row],[DATE ]]="","",Tableau6[[#This Row],[DATE ]])</f>
        <v/>
      </c>
      <c r="AH128" s="16" t="str">
        <f>Tableau6[[#This Row],[CUMUL]]</f>
        <v/>
      </c>
    </row>
    <row r="129" spans="33:34" x14ac:dyDescent="0.25">
      <c r="AG129" s="17" t="str">
        <f>IF(Tableau6[[#This Row],[DATE ]]="","",Tableau6[[#This Row],[DATE ]])</f>
        <v/>
      </c>
      <c r="AH129" s="16" t="str">
        <f>Tableau6[[#This Row],[CUMUL]]</f>
        <v/>
      </c>
    </row>
    <row r="130" spans="33:34" x14ac:dyDescent="0.25">
      <c r="AG130" s="17" t="str">
        <f>IF(Tableau6[[#This Row],[DATE ]]="","",Tableau6[[#This Row],[DATE ]])</f>
        <v/>
      </c>
      <c r="AH130" s="16" t="str">
        <f>Tableau6[[#This Row],[CUMUL]]</f>
        <v/>
      </c>
    </row>
    <row r="131" spans="33:34" x14ac:dyDescent="0.25">
      <c r="AG131" s="17" t="str">
        <f>IF(Tableau6[[#This Row],[DATE ]]="","",Tableau6[[#This Row],[DATE ]])</f>
        <v/>
      </c>
      <c r="AH131" s="16" t="str">
        <f>Tableau6[[#This Row],[CUMUL]]</f>
        <v/>
      </c>
    </row>
    <row r="132" spans="33:34" x14ac:dyDescent="0.25">
      <c r="AG132" s="17" t="str">
        <f>IF(Tableau6[[#This Row],[DATE ]]="","",Tableau6[[#This Row],[DATE ]])</f>
        <v/>
      </c>
      <c r="AH132" s="16" t="str">
        <f>Tableau6[[#This Row],[CUMUL]]</f>
        <v/>
      </c>
    </row>
    <row r="133" spans="33:34" x14ac:dyDescent="0.25">
      <c r="AG133" s="17" t="str">
        <f>IF(Tableau6[[#This Row],[DATE ]]="","",Tableau6[[#This Row],[DATE ]])</f>
        <v/>
      </c>
      <c r="AH133" s="16" t="str">
        <f>Tableau6[[#This Row],[CUMUL]]</f>
        <v/>
      </c>
    </row>
    <row r="134" spans="33:34" x14ac:dyDescent="0.25">
      <c r="AG134" s="17" t="str">
        <f>IF(Tableau6[[#This Row],[DATE ]]="","",Tableau6[[#This Row],[DATE ]])</f>
        <v/>
      </c>
      <c r="AH134" s="16" t="str">
        <f>Tableau6[[#This Row],[CUMUL]]</f>
        <v/>
      </c>
    </row>
    <row r="135" spans="33:34" x14ac:dyDescent="0.25">
      <c r="AG135" s="17" t="str">
        <f>IF(Tableau6[[#This Row],[DATE ]]="","",Tableau6[[#This Row],[DATE ]])</f>
        <v/>
      </c>
      <c r="AH135" s="16" t="str">
        <f>Tableau6[[#This Row],[CUMUL]]</f>
        <v/>
      </c>
    </row>
    <row r="136" spans="33:34" x14ac:dyDescent="0.25">
      <c r="AG136" s="17" t="str">
        <f>IF(Tableau6[[#This Row],[DATE ]]="","",Tableau6[[#This Row],[DATE ]])</f>
        <v/>
      </c>
      <c r="AH136" s="16" t="str">
        <f>Tableau6[[#This Row],[CUMUL]]</f>
        <v/>
      </c>
    </row>
    <row r="137" spans="33:34" x14ac:dyDescent="0.25">
      <c r="AG137" s="17" t="str">
        <f>IF(Tableau6[[#This Row],[DATE ]]="","",Tableau6[[#This Row],[DATE ]])</f>
        <v/>
      </c>
      <c r="AH137" s="16" t="str">
        <f>Tableau6[[#This Row],[CUMUL]]</f>
        <v/>
      </c>
    </row>
    <row r="138" spans="33:34" x14ac:dyDescent="0.25">
      <c r="AG138" s="17" t="str">
        <f>IF(Tableau6[[#This Row],[DATE ]]="","",Tableau6[[#This Row],[DATE ]])</f>
        <v/>
      </c>
      <c r="AH138" s="16" t="str">
        <f>Tableau6[[#This Row],[CUMUL]]</f>
        <v/>
      </c>
    </row>
    <row r="139" spans="33:34" x14ac:dyDescent="0.25">
      <c r="AG139" s="17" t="str">
        <f>IF(Tableau6[[#This Row],[DATE ]]="","",Tableau6[[#This Row],[DATE ]])</f>
        <v/>
      </c>
      <c r="AH139" s="16" t="str">
        <f>Tableau6[[#This Row],[CUMUL]]</f>
        <v/>
      </c>
    </row>
    <row r="140" spans="33:34" x14ac:dyDescent="0.25">
      <c r="AG140" s="17" t="str">
        <f>IF(Tableau6[[#This Row],[DATE ]]="","",Tableau6[[#This Row],[DATE ]])</f>
        <v/>
      </c>
      <c r="AH140" s="16" t="str">
        <f>Tableau6[[#This Row],[CUMUL]]</f>
        <v/>
      </c>
    </row>
    <row r="141" spans="33:34" x14ac:dyDescent="0.25">
      <c r="AG141" s="17" t="str">
        <f>IF(Tableau6[[#This Row],[DATE ]]="","",Tableau6[[#This Row],[DATE ]])</f>
        <v/>
      </c>
      <c r="AH141" s="16" t="str">
        <f>Tableau6[[#This Row],[CUMUL]]</f>
        <v/>
      </c>
    </row>
    <row r="142" spans="33:34" x14ac:dyDescent="0.25">
      <c r="AG142" s="17" t="str">
        <f>IF(Tableau6[[#This Row],[DATE ]]="","",Tableau6[[#This Row],[DATE ]])</f>
        <v/>
      </c>
      <c r="AH142" s="16" t="str">
        <f>Tableau6[[#This Row],[CUMUL]]</f>
        <v/>
      </c>
    </row>
    <row r="143" spans="33:34" x14ac:dyDescent="0.25">
      <c r="AG143" s="17" t="str">
        <f>IF(Tableau6[[#This Row],[DATE ]]="","",Tableau6[[#This Row],[DATE ]])</f>
        <v/>
      </c>
      <c r="AH143" s="16" t="str">
        <f>Tableau6[[#This Row],[CUMUL]]</f>
        <v/>
      </c>
    </row>
    <row r="144" spans="33:34" x14ac:dyDescent="0.25">
      <c r="AG144" s="17" t="str">
        <f>IF(Tableau6[[#This Row],[DATE ]]="","",Tableau6[[#This Row],[DATE ]])</f>
        <v/>
      </c>
      <c r="AH144" s="16" t="str">
        <f>Tableau6[[#This Row],[CUMUL]]</f>
        <v/>
      </c>
    </row>
    <row r="145" spans="33:34" x14ac:dyDescent="0.25">
      <c r="AG145" s="17" t="str">
        <f>IF(Tableau6[[#This Row],[DATE ]]="","",Tableau6[[#This Row],[DATE ]])</f>
        <v/>
      </c>
      <c r="AH145" s="16" t="str">
        <f>Tableau6[[#This Row],[CUMUL]]</f>
        <v/>
      </c>
    </row>
    <row r="146" spans="33:34" x14ac:dyDescent="0.25">
      <c r="AG146" s="17" t="str">
        <f>IF(Tableau6[[#This Row],[DATE ]]="","",Tableau6[[#This Row],[DATE ]])</f>
        <v/>
      </c>
      <c r="AH146" s="16" t="str">
        <f>Tableau6[[#This Row],[CUMUL]]</f>
        <v/>
      </c>
    </row>
    <row r="147" spans="33:34" x14ac:dyDescent="0.25">
      <c r="AG147" s="17" t="str">
        <f>IF(Tableau6[[#This Row],[DATE ]]="","",Tableau6[[#This Row],[DATE ]])</f>
        <v/>
      </c>
      <c r="AH147" s="16" t="str">
        <f>Tableau6[[#This Row],[CUMUL]]</f>
        <v/>
      </c>
    </row>
    <row r="148" spans="33:34" x14ac:dyDescent="0.25">
      <c r="AG148" s="17" t="str">
        <f>IF(Tableau6[[#This Row],[DATE ]]="","",Tableau6[[#This Row],[DATE ]])</f>
        <v/>
      </c>
      <c r="AH148" s="16" t="str">
        <f>Tableau6[[#This Row],[CUMUL]]</f>
        <v/>
      </c>
    </row>
    <row r="149" spans="33:34" x14ac:dyDescent="0.25">
      <c r="AG149" s="17" t="str">
        <f>IF(Tableau6[[#This Row],[DATE ]]="","",Tableau6[[#This Row],[DATE ]])</f>
        <v/>
      </c>
      <c r="AH149" s="16" t="str">
        <f>Tableau6[[#This Row],[CUMUL]]</f>
        <v/>
      </c>
    </row>
    <row r="150" spans="33:34" x14ac:dyDescent="0.25">
      <c r="AG150" s="17" t="str">
        <f>IF(Tableau6[[#This Row],[DATE ]]="","",Tableau6[[#This Row],[DATE ]])</f>
        <v/>
      </c>
      <c r="AH150" s="16" t="str">
        <f>Tableau6[[#This Row],[CUMUL]]</f>
        <v/>
      </c>
    </row>
    <row r="151" spans="33:34" x14ac:dyDescent="0.25">
      <c r="AG151" s="17" t="str">
        <f>IF(Tableau6[[#This Row],[DATE ]]="","",Tableau6[[#This Row],[DATE ]])</f>
        <v/>
      </c>
      <c r="AH151" s="16" t="str">
        <f>Tableau6[[#This Row],[CUMUL]]</f>
        <v/>
      </c>
    </row>
    <row r="152" spans="33:34" x14ac:dyDescent="0.25">
      <c r="AG152" s="17" t="str">
        <f>IF(Tableau6[[#This Row],[DATE ]]="","",Tableau6[[#This Row],[DATE ]])</f>
        <v/>
      </c>
      <c r="AH152" s="16" t="str">
        <f>Tableau6[[#This Row],[CUMUL]]</f>
        <v/>
      </c>
    </row>
    <row r="153" spans="33:34" x14ac:dyDescent="0.25">
      <c r="AG153" s="17" t="str">
        <f>IF(Tableau6[[#This Row],[DATE ]]="","",Tableau6[[#This Row],[DATE ]])</f>
        <v/>
      </c>
      <c r="AH153" s="16" t="str">
        <f>Tableau6[[#This Row],[CUMUL]]</f>
        <v/>
      </c>
    </row>
    <row r="154" spans="33:34" x14ac:dyDescent="0.25">
      <c r="AG154" s="17" t="str">
        <f>IF(Tableau6[[#This Row],[DATE ]]="","",Tableau6[[#This Row],[DATE ]])</f>
        <v/>
      </c>
      <c r="AH154" s="16" t="str">
        <f>Tableau6[[#This Row],[CUMUL]]</f>
        <v/>
      </c>
    </row>
    <row r="155" spans="33:34" x14ac:dyDescent="0.25">
      <c r="AG155" s="17" t="str">
        <f>IF(Tableau6[[#This Row],[DATE ]]="","",Tableau6[[#This Row],[DATE ]])</f>
        <v/>
      </c>
      <c r="AH155" s="16" t="str">
        <f>Tableau6[[#This Row],[CUMUL]]</f>
        <v/>
      </c>
    </row>
    <row r="156" spans="33:34" x14ac:dyDescent="0.25">
      <c r="AG156" s="17" t="str">
        <f>IF(Tableau6[[#This Row],[DATE ]]="","",Tableau6[[#This Row],[DATE ]])</f>
        <v/>
      </c>
      <c r="AH156" s="16" t="str">
        <f>Tableau6[[#This Row],[CUMUL]]</f>
        <v/>
      </c>
    </row>
    <row r="157" spans="33:34" x14ac:dyDescent="0.25">
      <c r="AG157" s="17" t="str">
        <f>IF(Tableau6[[#This Row],[DATE ]]="","",Tableau6[[#This Row],[DATE ]])</f>
        <v/>
      </c>
      <c r="AH157" s="16" t="str">
        <f>Tableau6[[#This Row],[CUMUL]]</f>
        <v/>
      </c>
    </row>
    <row r="158" spans="33:34" x14ac:dyDescent="0.25">
      <c r="AG158" s="17" t="str">
        <f>IF(Tableau6[[#This Row],[DATE ]]="","",Tableau6[[#This Row],[DATE ]])</f>
        <v/>
      </c>
      <c r="AH158" s="16" t="str">
        <f>Tableau6[[#This Row],[CUMUL]]</f>
        <v/>
      </c>
    </row>
    <row r="159" spans="33:34" x14ac:dyDescent="0.25">
      <c r="AG159" s="17" t="str">
        <f>IF(Tableau6[[#This Row],[DATE ]]="","",Tableau6[[#This Row],[DATE ]])</f>
        <v/>
      </c>
      <c r="AH159" s="16" t="str">
        <f>Tableau6[[#This Row],[CUMUL]]</f>
        <v/>
      </c>
    </row>
    <row r="160" spans="33:34" x14ac:dyDescent="0.25">
      <c r="AG160" s="17" t="str">
        <f>IF(Tableau6[[#This Row],[DATE ]]="","",Tableau6[[#This Row],[DATE ]])</f>
        <v/>
      </c>
      <c r="AH160" s="16" t="str">
        <f>Tableau6[[#This Row],[CUMUL]]</f>
        <v/>
      </c>
    </row>
    <row r="161" spans="33:34" x14ac:dyDescent="0.25">
      <c r="AG161" s="17" t="str">
        <f>IF(Tableau6[[#This Row],[DATE ]]="","",Tableau6[[#This Row],[DATE ]])</f>
        <v/>
      </c>
      <c r="AH161" s="16" t="str">
        <f>Tableau6[[#This Row],[CUMUL]]</f>
        <v/>
      </c>
    </row>
    <row r="162" spans="33:34" x14ac:dyDescent="0.25">
      <c r="AG162" s="17" t="str">
        <f>IF(Tableau6[[#This Row],[DATE ]]="","",Tableau6[[#This Row],[DATE ]])</f>
        <v/>
      </c>
      <c r="AH162" s="16" t="str">
        <f>Tableau6[[#This Row],[CUMUL]]</f>
        <v/>
      </c>
    </row>
    <row r="163" spans="33:34" x14ac:dyDescent="0.25">
      <c r="AG163" s="17" t="str">
        <f>IF(Tableau6[[#This Row],[DATE ]]="","",Tableau6[[#This Row],[DATE ]])</f>
        <v/>
      </c>
      <c r="AH163" s="16" t="str">
        <f>Tableau6[[#This Row],[CUMUL]]</f>
        <v/>
      </c>
    </row>
    <row r="164" spans="33:34" x14ac:dyDescent="0.25">
      <c r="AG164" s="17" t="str">
        <f>IF(Tableau6[[#This Row],[DATE ]]="","",Tableau6[[#This Row],[DATE ]])</f>
        <v/>
      </c>
      <c r="AH164" s="16" t="str">
        <f>Tableau6[[#This Row],[CUMUL]]</f>
        <v/>
      </c>
    </row>
    <row r="165" spans="33:34" x14ac:dyDescent="0.25">
      <c r="AG165" s="17" t="str">
        <f>IF(Tableau6[[#This Row],[DATE ]]="","",Tableau6[[#This Row],[DATE ]])</f>
        <v/>
      </c>
      <c r="AH165" s="16" t="str">
        <f>Tableau6[[#This Row],[CUMUL]]</f>
        <v/>
      </c>
    </row>
    <row r="166" spans="33:34" x14ac:dyDescent="0.25">
      <c r="AG166" s="17" t="str">
        <f>IF(Tableau6[[#This Row],[DATE ]]="","",Tableau6[[#This Row],[DATE ]])</f>
        <v/>
      </c>
      <c r="AH166" s="16" t="str">
        <f>Tableau6[[#This Row],[CUMUL]]</f>
        <v/>
      </c>
    </row>
    <row r="167" spans="33:34" x14ac:dyDescent="0.25">
      <c r="AG167" s="17" t="str">
        <f>IF(Tableau6[[#This Row],[DATE ]]="","",Tableau6[[#This Row],[DATE ]])</f>
        <v/>
      </c>
      <c r="AH167" s="16" t="str">
        <f>Tableau6[[#This Row],[CUMUL]]</f>
        <v/>
      </c>
    </row>
    <row r="168" spans="33:34" x14ac:dyDescent="0.25">
      <c r="AG168" s="17" t="str">
        <f>IF(Tableau6[[#This Row],[DATE ]]="","",Tableau6[[#This Row],[DATE ]])</f>
        <v/>
      </c>
      <c r="AH168" s="16" t="str">
        <f>Tableau6[[#This Row],[CUMUL]]</f>
        <v/>
      </c>
    </row>
    <row r="169" spans="33:34" x14ac:dyDescent="0.25">
      <c r="AG169" s="17" t="str">
        <f>IF(Tableau6[[#This Row],[DATE ]]="","",Tableau6[[#This Row],[DATE ]])</f>
        <v/>
      </c>
      <c r="AH169" s="16" t="str">
        <f>Tableau6[[#This Row],[CUMUL]]</f>
        <v/>
      </c>
    </row>
    <row r="170" spans="33:34" x14ac:dyDescent="0.25">
      <c r="AG170" s="17" t="str">
        <f>IF(Tableau6[[#This Row],[DATE ]]="","",Tableau6[[#This Row],[DATE ]])</f>
        <v/>
      </c>
      <c r="AH170" s="16" t="str">
        <f>Tableau6[[#This Row],[CUMUL]]</f>
        <v/>
      </c>
    </row>
    <row r="171" spans="33:34" x14ac:dyDescent="0.25">
      <c r="AG171" s="17" t="str">
        <f>IF(Tableau6[[#This Row],[DATE ]]="","",Tableau6[[#This Row],[DATE ]])</f>
        <v/>
      </c>
      <c r="AH171" s="16" t="str">
        <f>Tableau6[[#This Row],[CUMUL]]</f>
        <v/>
      </c>
    </row>
    <row r="172" spans="33:34" x14ac:dyDescent="0.25">
      <c r="AG172" s="17" t="str">
        <f>IF(Tableau6[[#This Row],[DATE ]]="","",Tableau6[[#This Row],[DATE ]])</f>
        <v/>
      </c>
      <c r="AH172" s="16" t="str">
        <f>Tableau6[[#This Row],[CUMUL]]</f>
        <v/>
      </c>
    </row>
    <row r="173" spans="33:34" x14ac:dyDescent="0.25">
      <c r="AG173" s="17" t="str">
        <f>IF(Tableau6[[#This Row],[DATE ]]="","",Tableau6[[#This Row],[DATE ]])</f>
        <v/>
      </c>
      <c r="AH173" s="16" t="str">
        <f>Tableau6[[#This Row],[CUMUL]]</f>
        <v/>
      </c>
    </row>
    <row r="174" spans="33:34" x14ac:dyDescent="0.25">
      <c r="AG174" s="17" t="str">
        <f>IF(Tableau6[[#This Row],[DATE ]]="","",Tableau6[[#This Row],[DATE ]])</f>
        <v/>
      </c>
      <c r="AH174" s="16" t="str">
        <f>Tableau6[[#This Row],[CUMUL]]</f>
        <v/>
      </c>
    </row>
    <row r="175" spans="33:34" x14ac:dyDescent="0.25">
      <c r="AG175" s="17" t="str">
        <f>IF(Tableau6[[#This Row],[DATE ]]="","",Tableau6[[#This Row],[DATE ]])</f>
        <v/>
      </c>
      <c r="AH175" s="16" t="str">
        <f>Tableau6[[#This Row],[CUMUL]]</f>
        <v/>
      </c>
    </row>
    <row r="176" spans="33:34" x14ac:dyDescent="0.25">
      <c r="AG176" s="17" t="str">
        <f>IF(Tableau6[[#This Row],[DATE ]]="","",Tableau6[[#This Row],[DATE ]])</f>
        <v/>
      </c>
      <c r="AH176" s="16" t="str">
        <f>Tableau6[[#This Row],[CUMUL]]</f>
        <v/>
      </c>
    </row>
    <row r="177" spans="33:34" x14ac:dyDescent="0.25">
      <c r="AG177" s="17" t="str">
        <f>IF(Tableau6[[#This Row],[DATE ]]="","",Tableau6[[#This Row],[DATE ]])</f>
        <v/>
      </c>
      <c r="AH177" s="16" t="str">
        <f>Tableau6[[#This Row],[CUMUL]]</f>
        <v/>
      </c>
    </row>
    <row r="178" spans="33:34" x14ac:dyDescent="0.25">
      <c r="AG178" s="17" t="str">
        <f>IF(Tableau6[[#This Row],[DATE ]]="","",Tableau6[[#This Row],[DATE ]])</f>
        <v/>
      </c>
      <c r="AH178" s="16" t="str">
        <f>Tableau6[[#This Row],[CUMUL]]</f>
        <v/>
      </c>
    </row>
    <row r="179" spans="33:34" x14ac:dyDescent="0.25">
      <c r="AG179" s="17" t="str">
        <f>IF(Tableau6[[#This Row],[DATE ]]="","",Tableau6[[#This Row],[DATE ]])</f>
        <v/>
      </c>
      <c r="AH179" s="16" t="str">
        <f>Tableau6[[#This Row],[CUMUL]]</f>
        <v/>
      </c>
    </row>
    <row r="180" spans="33:34" x14ac:dyDescent="0.25">
      <c r="AG180" s="17" t="str">
        <f>IF(Tableau6[[#This Row],[DATE ]]="","",Tableau6[[#This Row],[DATE ]])</f>
        <v/>
      </c>
      <c r="AH180" s="16" t="str">
        <f>Tableau6[[#This Row],[CUMUL]]</f>
        <v/>
      </c>
    </row>
    <row r="181" spans="33:34" x14ac:dyDescent="0.25">
      <c r="AG181" s="17" t="str">
        <f>IF(Tableau6[[#This Row],[DATE ]]="","",Tableau6[[#This Row],[DATE ]])</f>
        <v/>
      </c>
      <c r="AH181" s="16" t="str">
        <f>Tableau6[[#This Row],[CUMUL]]</f>
        <v/>
      </c>
    </row>
    <row r="182" spans="33:34" x14ac:dyDescent="0.25">
      <c r="AG182" s="17" t="str">
        <f>IF(Tableau6[[#This Row],[DATE ]]="","",Tableau6[[#This Row],[DATE ]])</f>
        <v/>
      </c>
      <c r="AH182" s="16" t="str">
        <f>Tableau6[[#This Row],[CUMUL]]</f>
        <v/>
      </c>
    </row>
    <row r="183" spans="33:34" x14ac:dyDescent="0.25">
      <c r="AG183" s="17" t="str">
        <f>IF(Tableau6[[#This Row],[DATE ]]="","",Tableau6[[#This Row],[DATE ]])</f>
        <v/>
      </c>
      <c r="AH183" s="16" t="str">
        <f>Tableau6[[#This Row],[CUMUL]]</f>
        <v/>
      </c>
    </row>
    <row r="184" spans="33:34" x14ac:dyDescent="0.25">
      <c r="AG184" s="17" t="str">
        <f>IF(Tableau6[[#This Row],[DATE ]]="","",Tableau6[[#This Row],[DATE ]])</f>
        <v/>
      </c>
      <c r="AH184" s="16" t="str">
        <f>Tableau6[[#This Row],[CUMUL]]</f>
        <v/>
      </c>
    </row>
    <row r="185" spans="33:34" x14ac:dyDescent="0.25">
      <c r="AG185" s="17" t="str">
        <f>IF(Tableau6[[#This Row],[DATE ]]="","",Tableau6[[#This Row],[DATE ]])</f>
        <v/>
      </c>
      <c r="AH185" s="16" t="str">
        <f>Tableau6[[#This Row],[CUMUL]]</f>
        <v/>
      </c>
    </row>
    <row r="186" spans="33:34" x14ac:dyDescent="0.25">
      <c r="AG186" s="17" t="str">
        <f>IF(Tableau6[[#This Row],[DATE ]]="","",Tableau6[[#This Row],[DATE ]])</f>
        <v/>
      </c>
      <c r="AH186" s="16" t="str">
        <f>Tableau6[[#This Row],[CUMUL]]</f>
        <v/>
      </c>
    </row>
    <row r="187" spans="33:34" x14ac:dyDescent="0.25">
      <c r="AG187" s="17" t="str">
        <f>IF(Tableau6[[#This Row],[DATE ]]="","",Tableau6[[#This Row],[DATE ]])</f>
        <v/>
      </c>
      <c r="AH187" s="16" t="str">
        <f>Tableau6[[#This Row],[CUMUL]]</f>
        <v/>
      </c>
    </row>
    <row r="188" spans="33:34" x14ac:dyDescent="0.25">
      <c r="AG188" s="17" t="str">
        <f>IF(Tableau6[[#This Row],[DATE ]]="","",Tableau6[[#This Row],[DATE ]])</f>
        <v/>
      </c>
      <c r="AH188" s="16" t="str">
        <f>Tableau6[[#This Row],[CUMUL]]</f>
        <v/>
      </c>
    </row>
    <row r="189" spans="33:34" x14ac:dyDescent="0.25">
      <c r="AG189" s="17" t="str">
        <f>IF(Tableau6[[#This Row],[DATE ]]="","",Tableau6[[#This Row],[DATE ]])</f>
        <v/>
      </c>
      <c r="AH189" s="16" t="str">
        <f>Tableau6[[#This Row],[CUMUL]]</f>
        <v/>
      </c>
    </row>
    <row r="190" spans="33:34" x14ac:dyDescent="0.25">
      <c r="AG190" s="17" t="str">
        <f>IF(Tableau6[[#This Row],[DATE ]]="","",Tableau6[[#This Row],[DATE ]])</f>
        <v/>
      </c>
      <c r="AH190" s="16" t="str">
        <f>Tableau6[[#This Row],[CUMUL]]</f>
        <v/>
      </c>
    </row>
    <row r="191" spans="33:34" x14ac:dyDescent="0.25">
      <c r="AG191" s="17" t="str">
        <f>IF(Tableau6[[#This Row],[DATE ]]="","",Tableau6[[#This Row],[DATE ]])</f>
        <v/>
      </c>
      <c r="AH191" s="16" t="str">
        <f>Tableau6[[#This Row],[CUMUL]]</f>
        <v/>
      </c>
    </row>
    <row r="192" spans="33:34" x14ac:dyDescent="0.25">
      <c r="AG192" s="17" t="str">
        <f>IF(Tableau6[[#This Row],[DATE ]]="","",Tableau6[[#This Row],[DATE ]])</f>
        <v/>
      </c>
      <c r="AH192" s="16" t="str">
        <f>Tableau6[[#This Row],[CUMUL]]</f>
        <v/>
      </c>
    </row>
    <row r="193" spans="33:34" x14ac:dyDescent="0.25">
      <c r="AG193" s="17" t="str">
        <f>IF(Tableau6[[#This Row],[DATE ]]="","",Tableau6[[#This Row],[DATE ]])</f>
        <v/>
      </c>
      <c r="AH193" s="16" t="str">
        <f>Tableau6[[#This Row],[CUMUL]]</f>
        <v/>
      </c>
    </row>
    <row r="194" spans="33:34" x14ac:dyDescent="0.25">
      <c r="AG194" s="17" t="str">
        <f>IF(Tableau6[[#This Row],[DATE ]]="","",Tableau6[[#This Row],[DATE ]])</f>
        <v/>
      </c>
      <c r="AH194" s="16" t="str">
        <f>Tableau6[[#This Row],[CUMUL]]</f>
        <v/>
      </c>
    </row>
    <row r="195" spans="33:34" x14ac:dyDescent="0.25">
      <c r="AG195" s="17" t="str">
        <f>IF(Tableau6[[#This Row],[DATE ]]="","",Tableau6[[#This Row],[DATE ]])</f>
        <v/>
      </c>
      <c r="AH195" s="16" t="str">
        <f>Tableau6[[#This Row],[CUMUL]]</f>
        <v/>
      </c>
    </row>
    <row r="196" spans="33:34" x14ac:dyDescent="0.25">
      <c r="AG196" s="17" t="str">
        <f>IF(Tableau6[[#This Row],[DATE ]]="","",Tableau6[[#This Row],[DATE ]])</f>
        <v/>
      </c>
      <c r="AH196" s="16" t="str">
        <f>Tableau6[[#This Row],[CUMUL]]</f>
        <v/>
      </c>
    </row>
    <row r="197" spans="33:34" x14ac:dyDescent="0.25">
      <c r="AG197" s="17" t="str">
        <f>IF(Tableau6[[#This Row],[DATE ]]="","",Tableau6[[#This Row],[DATE ]])</f>
        <v/>
      </c>
      <c r="AH197" s="16" t="str">
        <f>Tableau6[[#This Row],[CUMUL]]</f>
        <v/>
      </c>
    </row>
    <row r="198" spans="33:34" x14ac:dyDescent="0.25">
      <c r="AG198" s="17" t="str">
        <f>IF(Tableau6[[#This Row],[DATE ]]="","",Tableau6[[#This Row],[DATE ]])</f>
        <v/>
      </c>
      <c r="AH198" s="16" t="str">
        <f>Tableau6[[#This Row],[CUMUL]]</f>
        <v/>
      </c>
    </row>
    <row r="199" spans="33:34" x14ac:dyDescent="0.25">
      <c r="AG199" s="17" t="str">
        <f>IF(Tableau6[[#This Row],[DATE ]]="","",Tableau6[[#This Row],[DATE ]])</f>
        <v/>
      </c>
      <c r="AH199" s="16" t="str">
        <f>Tableau6[[#This Row],[CUMUL]]</f>
        <v/>
      </c>
    </row>
    <row r="200" spans="33:34" x14ac:dyDescent="0.25">
      <c r="AG200" s="17" t="str">
        <f>IF(Tableau6[[#This Row],[DATE ]]="","",Tableau6[[#This Row],[DATE ]])</f>
        <v/>
      </c>
      <c r="AH200" s="16"/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ACCEUIL</vt:lpstr>
      <vt:lpstr>CATEGORIE</vt:lpstr>
      <vt:lpstr>BUDGET_MENSUEL</vt:lpstr>
      <vt:lpstr>BUDJET_PREVISIONNEL</vt:lpstr>
      <vt:lpstr>TABLEAU_DE_BORD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FALADE</dc:creator>
  <cp:lastModifiedBy>emmaroxy20051505@outlook.com</cp:lastModifiedBy>
  <dcterms:created xsi:type="dcterms:W3CDTF">2026-08-26T09:38:58Z</dcterms:created>
  <dcterms:modified xsi:type="dcterms:W3CDTF">2026-10-15T10:44:47Z</dcterms:modified>
</cp:coreProperties>
</file>